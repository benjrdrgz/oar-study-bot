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ashboard" sheetId="1" state="visible" r:id="rId1"/>
    <sheet xmlns:r="http://schemas.openxmlformats.org/officeDocument/2006/relationships" name="12-Week Tracker" sheetId="2" state="visible" r:id="rId2"/>
    <sheet xmlns:r="http://schemas.openxmlformats.org/officeDocument/2006/relationships" name="Financial Summary" sheetId="3" state="visible" r:id="rId3"/>
    <sheet xmlns:r="http://schemas.openxmlformats.org/officeDocument/2006/relationships" name="Client Roster" sheetId="4" state="visible" r:id="rId4"/>
    <sheet xmlns:r="http://schemas.openxmlformats.org/officeDocument/2006/relationships" name="Goals &amp; 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$#,##0.00"/>
    <numFmt numFmtId="166" formatCode="0.0%"/>
    <numFmt numFmtId="167" formatCode="0.0"/>
    <numFmt numFmtId="168" formatCode="$#,##0"/>
    <numFmt numFmtId="169" formatCode="+0.0%;-0.0%;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70C0"/>
      <sz val="10"/>
    </font>
    <font>
      <name val="Arial"/>
      <b val="1"/>
      <color rgb="001F4E78"/>
      <sz val="11"/>
    </font>
    <font>
      <name val="Arial"/>
      <color rgb="00000000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2" fillId="0" borderId="0" pivotButton="0" quotePrefix="0" xfId="0"/>
    <xf numFmtId="165" fontId="4" fillId="0" borderId="0" pivotButton="0" quotePrefix="0" xfId="0"/>
    <xf numFmtId="166" fontId="2" fillId="0" borderId="0" pivotButton="0" quotePrefix="0" xfId="0"/>
    <xf numFmtId="166" fontId="0" fillId="0" borderId="0" pivotButton="0" quotePrefix="0" xfId="0"/>
    <xf numFmtId="166" fontId="4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5" fillId="0" borderId="0" pivotButton="0" quotePrefix="0" xfId="0"/>
    <xf numFmtId="167" fontId="4" fillId="0" borderId="0" pivotButton="0" quotePrefix="0" xfId="0"/>
    <xf numFmtId="1" fontId="4" fillId="0" borderId="0" pivotButton="0" quotePrefix="0" xfId="0"/>
    <xf numFmtId="0" fontId="6" fillId="4" borderId="0" applyAlignment="1" pivotButton="0" quotePrefix="0" xfId="0">
      <alignment horizontal="center" wrapText="1"/>
    </xf>
    <xf numFmtId="0" fontId="6" fillId="5" borderId="0" pivotButton="0" quotePrefix="0" xfId="0"/>
    <xf numFmtId="168" fontId="5" fillId="0" borderId="0" pivotButton="0" quotePrefix="0" xfId="0"/>
    <xf numFmtId="0" fontId="6" fillId="4" borderId="0" pivotButton="0" quotePrefix="0" xfId="0"/>
    <xf numFmtId="16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Weekly Dashboard — v1.0</t>
        </is>
      </c>
    </row>
    <row r="2">
      <c r="A2" t="inlineStr">
        <is>
          <t>Week Ending</t>
        </is>
      </c>
      <c r="B2" s="2">
        <f>TODAY()</f>
        <v/>
      </c>
    </row>
    <row r="4">
      <c r="A4" s="3" t="inlineStr">
        <is>
          <t>LEAD METRICS</t>
        </is>
      </c>
      <c r="B4" s="4" t="n"/>
      <c r="C4" s="4" t="n"/>
      <c r="D4" s="4" t="n"/>
    </row>
    <row r="5">
      <c r="A5" t="inlineStr">
        <is>
          <t>Leads Scraped</t>
        </is>
      </c>
      <c r="B5" s="5" t="n"/>
      <c r="C5" t="inlineStr">
        <is>
          <t>Target</t>
        </is>
      </c>
      <c r="D5" t="inlineStr">
        <is>
          <t>Status</t>
        </is>
      </c>
    </row>
    <row r="6">
      <c r="A6" t="inlineStr">
        <is>
          <t>Leads Qualified</t>
        </is>
      </c>
      <c r="B6" s="5" t="n"/>
      <c r="C6" t="inlineStr">
        <is>
          <t>Target</t>
        </is>
      </c>
      <c r="D6" t="inlineStr">
        <is>
          <t>Status</t>
        </is>
      </c>
    </row>
    <row r="7">
      <c r="A7" t="inlineStr">
        <is>
          <t>Cost per Lead</t>
        </is>
      </c>
      <c r="B7" s="6">
        <f>IF(B5=0, 0, 307/B5)</f>
        <v/>
      </c>
      <c r="C7" t="inlineStr">
        <is>
          <t>Target</t>
        </is>
      </c>
      <c r="D7" t="inlineStr">
        <is>
          <t>Status</t>
        </is>
      </c>
    </row>
    <row r="9">
      <c r="A9" s="3" t="inlineStr">
        <is>
          <t>SITE METRICS</t>
        </is>
      </c>
      <c r="B9" s="4" t="n"/>
      <c r="C9" s="4" t="n"/>
      <c r="D9" s="4" t="n"/>
    </row>
    <row r="10">
      <c r="A10" t="inlineStr">
        <is>
          <t>Demo Sites Built</t>
        </is>
      </c>
      <c r="B10" s="5" t="n"/>
      <c r="C10" t="inlineStr">
        <is>
          <t>Target</t>
        </is>
      </c>
      <c r="D10" t="inlineStr">
        <is>
          <t>Status</t>
        </is>
      </c>
    </row>
    <row r="11">
      <c r="A11" t="inlineStr">
        <is>
          <t>Sites Deployed</t>
        </is>
      </c>
      <c r="B11" s="5" t="n"/>
      <c r="C11" t="inlineStr">
        <is>
          <t>Target</t>
        </is>
      </c>
      <c r="D11" t="inlineStr">
        <is>
          <t>Status</t>
        </is>
      </c>
    </row>
    <row r="12">
      <c r="A12" t="inlineStr">
        <is>
          <t>Build Time Avg (hrs)</t>
        </is>
      </c>
      <c r="B12" s="5" t="n"/>
      <c r="C12" t="inlineStr">
        <is>
          <t>Target</t>
        </is>
      </c>
      <c r="D12" t="inlineStr">
        <is>
          <t>Status</t>
        </is>
      </c>
    </row>
    <row r="14">
      <c r="A14" s="3" t="inlineStr">
        <is>
          <t>OUTREACH METRICS</t>
        </is>
      </c>
      <c r="B14" s="4" t="n"/>
      <c r="C14" s="4" t="n"/>
      <c r="D14" s="4" t="n"/>
    </row>
    <row r="15">
      <c r="A15" t="inlineStr">
        <is>
          <t>Emails Sent</t>
        </is>
      </c>
      <c r="B15" s="5" t="n"/>
      <c r="C15" t="inlineStr">
        <is>
          <t>Target</t>
        </is>
      </c>
      <c r="D15" t="inlineStr">
        <is>
          <t>Status</t>
        </is>
      </c>
    </row>
    <row r="16">
      <c r="A16" t="inlineStr">
        <is>
          <t>Open Rate %</t>
        </is>
      </c>
      <c r="B16" s="7" t="n"/>
      <c r="C16" s="8" t="inlineStr">
        <is>
          <t>Target</t>
        </is>
      </c>
      <c r="D16" t="inlineStr">
        <is>
          <t>Status</t>
        </is>
      </c>
    </row>
    <row r="17">
      <c r="A17" t="inlineStr">
        <is>
          <t>Reply Rate %</t>
        </is>
      </c>
      <c r="B17" s="7" t="n"/>
      <c r="C17" s="8" t="inlineStr">
        <is>
          <t>Target</t>
        </is>
      </c>
      <c r="D17" t="inlineStr">
        <is>
          <t>Status</t>
        </is>
      </c>
    </row>
    <row r="18">
      <c r="A18" t="inlineStr">
        <is>
          <t>Positive Replies</t>
        </is>
      </c>
      <c r="B18" s="5" t="n"/>
      <c r="C18" t="inlineStr">
        <is>
          <t>Target</t>
        </is>
      </c>
      <c r="D18" t="inlineStr">
        <is>
          <t>Status</t>
        </is>
      </c>
    </row>
    <row r="20">
      <c r="A20" s="3" t="inlineStr">
        <is>
          <t>SALES METRICS</t>
        </is>
      </c>
      <c r="B20" s="4" t="n"/>
      <c r="C20" s="4" t="n"/>
      <c r="D20" s="4" t="n"/>
    </row>
    <row r="21">
      <c r="A21" t="inlineStr">
        <is>
          <t>Calls Booked</t>
        </is>
      </c>
      <c r="B21" s="5" t="n"/>
      <c r="C21" t="inlineStr">
        <is>
          <t>Target</t>
        </is>
      </c>
      <c r="D21" t="inlineStr">
        <is>
          <t>Status</t>
        </is>
      </c>
    </row>
    <row r="22">
      <c r="A22" t="inlineStr">
        <is>
          <t>Proposals Sent</t>
        </is>
      </c>
      <c r="B22" s="5" t="n"/>
      <c r="C22" t="inlineStr">
        <is>
          <t>Target</t>
        </is>
      </c>
      <c r="D22" t="inlineStr">
        <is>
          <t>Status</t>
        </is>
      </c>
    </row>
    <row r="23">
      <c r="A23" t="inlineStr">
        <is>
          <t>Clients Won</t>
        </is>
      </c>
      <c r="B23" s="5" t="n"/>
      <c r="C23" t="inlineStr">
        <is>
          <t>Target</t>
        </is>
      </c>
      <c r="D23" t="inlineStr">
        <is>
          <t>Status</t>
        </is>
      </c>
    </row>
    <row r="24">
      <c r="A24" t="inlineStr">
        <is>
          <t>Win Rate %</t>
        </is>
      </c>
      <c r="B24" s="9">
        <f>IF(B22=0, 0, B23/B22)</f>
        <v/>
      </c>
      <c r="C24" s="8" t="inlineStr">
        <is>
          <t>Target</t>
        </is>
      </c>
      <c r="D24" t="inlineStr">
        <is>
          <t>Status</t>
        </is>
      </c>
    </row>
    <row r="26">
      <c r="A26" s="3" t="inlineStr">
        <is>
          <t>REVENUE</t>
        </is>
      </c>
      <c r="B26" s="4" t="n"/>
      <c r="C26" s="4" t="n"/>
      <c r="D26" s="4" t="n"/>
    </row>
    <row r="27">
      <c r="A27" t="inlineStr">
        <is>
          <t>Setup Fees Collected</t>
        </is>
      </c>
      <c r="B27" s="10" t="n"/>
      <c r="C27" s="11" t="inlineStr">
        <is>
          <t>Target</t>
        </is>
      </c>
    </row>
    <row r="28">
      <c r="A28" t="inlineStr">
        <is>
          <t>New MRR Added</t>
        </is>
      </c>
      <c r="B28" s="10" t="n"/>
      <c r="C28" s="11" t="inlineStr">
        <is>
          <t>Target</t>
        </is>
      </c>
    </row>
    <row r="29">
      <c r="A29" t="inlineStr">
        <is>
          <t>Total MRR (Cumulative)</t>
        </is>
      </c>
      <c r="B29" s="10" t="n"/>
      <c r="C29" s="11" t="inlineStr">
        <is>
          <t>Target</t>
        </is>
      </c>
    </row>
    <row r="30">
      <c r="A30" t="inlineStr">
        <is>
          <t>Total Revenue This Week</t>
        </is>
      </c>
      <c r="B30" s="6">
        <f>B27+B28</f>
        <v/>
      </c>
      <c r="C30" s="11" t="inlineStr">
        <is>
          <t>Target</t>
        </is>
      </c>
    </row>
    <row r="32">
      <c r="A32" s="3" t="inlineStr">
        <is>
          <t>EFFICIENCY</t>
        </is>
      </c>
      <c r="B32" s="4" t="n"/>
      <c r="C32" s="4" t="n"/>
      <c r="D32" s="4" t="n"/>
    </row>
    <row r="33">
      <c r="A33" t="inlineStr">
        <is>
          <t>Revenue per Hour</t>
        </is>
      </c>
      <c r="B33" s="6">
        <f>IF(B12=0, 0, B30/(B12*8))</f>
        <v/>
      </c>
      <c r="C33" s="11" t="inlineStr">
        <is>
          <t>Target</t>
        </is>
      </c>
    </row>
    <row r="34">
      <c r="A34" t="inlineStr">
        <is>
          <t>Sites per Hour</t>
        </is>
      </c>
      <c r="B34" s="12">
        <f>IF(B12=0, 0, B11/(B12*8))</f>
        <v/>
      </c>
      <c r="C34" t="inlineStr">
        <is>
          <t>Target</t>
        </is>
      </c>
      <c r="D34" t="inlineStr">
        <is>
          <t>Status</t>
        </is>
      </c>
    </row>
    <row r="35">
      <c r="A35" t="inlineStr">
        <is>
          <t>Cost per Acquisition</t>
        </is>
      </c>
      <c r="B35" s="6">
        <f>IF(B23=0, 0, 307/B23)</f>
        <v/>
      </c>
      <c r="C35" s="11" t="inlineStr">
        <is>
          <t>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Metric</t>
        </is>
      </c>
      <c r="B1" s="13" t="inlineStr">
        <is>
          <t>W1</t>
        </is>
      </c>
      <c r="C1" s="13" t="inlineStr">
        <is>
          <t>W2</t>
        </is>
      </c>
      <c r="D1" s="13" t="inlineStr">
        <is>
          <t>W3</t>
        </is>
      </c>
      <c r="E1" s="13" t="inlineStr">
        <is>
          <t>W4</t>
        </is>
      </c>
      <c r="F1" s="13" t="inlineStr">
        <is>
          <t>W5</t>
        </is>
      </c>
      <c r="G1" s="13" t="inlineStr">
        <is>
          <t>W6</t>
        </is>
      </c>
      <c r="H1" s="13" t="inlineStr">
        <is>
          <t>W7</t>
        </is>
      </c>
      <c r="I1" s="13" t="inlineStr">
        <is>
          <t>W8</t>
        </is>
      </c>
      <c r="J1" s="13" t="inlineStr">
        <is>
          <t>W9</t>
        </is>
      </c>
      <c r="K1" s="13" t="inlineStr">
        <is>
          <t>W10</t>
        </is>
      </c>
      <c r="L1" s="13" t="inlineStr">
        <is>
          <t>W11</t>
        </is>
      </c>
      <c r="M1" s="13" t="inlineStr">
        <is>
          <t>W12</t>
        </is>
      </c>
      <c r="N1" s="1" t="inlineStr">
        <is>
          <t>YoY %</t>
        </is>
      </c>
    </row>
    <row r="2">
      <c r="A2" s="14" t="inlineStr">
        <is>
          <t>Leads Scraped</t>
        </is>
      </c>
    </row>
    <row r="3">
      <c r="A3" s="14" t="inlineStr">
        <is>
          <t>Leads Qualified</t>
        </is>
      </c>
      <c r="N3" s="8">
        <f>IF(C3=0, 0, (C3-B3)/B3)</f>
        <v/>
      </c>
    </row>
    <row r="4">
      <c r="A4" s="14" t="inlineStr">
        <is>
          <t>Cost per Lead</t>
        </is>
      </c>
      <c r="N4" s="8">
        <f>IF(C4=0, 0, (C4-B4)/B4)</f>
        <v/>
      </c>
    </row>
    <row r="5">
      <c r="A5" s="14" t="inlineStr">
        <is>
          <t>Demo Sites Built</t>
        </is>
      </c>
      <c r="N5" s="8">
        <f>IF(C5=0, 0, (C5-B5)/B5)</f>
        <v/>
      </c>
    </row>
    <row r="6">
      <c r="A6" s="14" t="inlineStr">
        <is>
          <t>Sites Deployed</t>
        </is>
      </c>
      <c r="N6" s="8">
        <f>IF(C6=0, 0, (C6-B6)/B6)</f>
        <v/>
      </c>
    </row>
    <row r="7">
      <c r="A7" s="14" t="inlineStr">
        <is>
          <t>Build Time Avg</t>
        </is>
      </c>
      <c r="N7" s="8">
        <f>IF(C7=0, 0, (C7-B7)/B7)</f>
        <v/>
      </c>
    </row>
    <row r="8">
      <c r="A8" s="14" t="inlineStr">
        <is>
          <t>Emails Sent</t>
        </is>
      </c>
      <c r="N8" s="8">
        <f>IF(C8=0, 0, (C8-B8)/B8)</f>
        <v/>
      </c>
    </row>
    <row r="9">
      <c r="A9" s="14" t="inlineStr">
        <is>
          <t>Open Rate %</t>
        </is>
      </c>
      <c r="N9" s="8">
        <f>IF(C9=0, 0, (C9-B9)/B9)</f>
        <v/>
      </c>
    </row>
    <row r="10">
      <c r="A10" s="14" t="inlineStr">
        <is>
          <t>Reply Rate %</t>
        </is>
      </c>
      <c r="N10" s="8">
        <f>IF(C10=0, 0, (C10-B10)/B10)</f>
        <v/>
      </c>
    </row>
    <row r="11">
      <c r="A11" s="14" t="inlineStr">
        <is>
          <t>Positive Replies</t>
        </is>
      </c>
      <c r="N11" s="8">
        <f>IF(C11=0, 0, (C11-B11)/B11)</f>
        <v/>
      </c>
    </row>
    <row r="12">
      <c r="A12" s="14" t="inlineStr">
        <is>
          <t>Calls Booked</t>
        </is>
      </c>
      <c r="N12" s="8">
        <f>IF(C12=0, 0, (C12-B12)/B12)</f>
        <v/>
      </c>
    </row>
    <row r="13">
      <c r="A13" s="14" t="inlineStr">
        <is>
          <t>Proposals Sent</t>
        </is>
      </c>
      <c r="N13" s="8">
        <f>IF(C13=0, 0, (C13-B13)/B13)</f>
        <v/>
      </c>
    </row>
    <row r="14">
      <c r="A14" s="14" t="inlineStr">
        <is>
          <t>Clients Won</t>
        </is>
      </c>
      <c r="N14" s="8">
        <f>IF(C14=0, 0, (C14-B14)/B14)</f>
        <v/>
      </c>
    </row>
    <row r="15">
      <c r="A15" s="14" t="inlineStr">
        <is>
          <t>Win Rate %</t>
        </is>
      </c>
      <c r="N15" s="8">
        <f>IF(C15=0, 0, (C15-B15)/B15)</f>
        <v/>
      </c>
    </row>
    <row r="16">
      <c r="A16" s="14" t="inlineStr">
        <is>
          <t>Setup Fees</t>
        </is>
      </c>
      <c r="N16" s="8">
        <f>IF(C16=0, 0, (C16-B16)/B16)</f>
        <v/>
      </c>
    </row>
    <row r="17">
      <c r="A17" s="14" t="inlineStr">
        <is>
          <t>New MRR</t>
        </is>
      </c>
      <c r="N17" s="8">
        <f>IF(C17=0, 0, (C17-B17)/B17)</f>
        <v/>
      </c>
    </row>
    <row r="18">
      <c r="A18" s="14" t="inlineStr">
        <is>
          <t>Total MRR</t>
        </is>
      </c>
      <c r="N18" s="8">
        <f>IF(C18=0, 0, (C18-B18)/B18)</f>
        <v/>
      </c>
    </row>
    <row r="19">
      <c r="A19" s="14" t="inlineStr">
        <is>
          <t>Revenue (Week)</t>
        </is>
      </c>
      <c r="N19" s="8">
        <f>IF(C19=0, 0, (C19-B19)/B19)</f>
        <v/>
      </c>
    </row>
    <row r="20">
      <c r="A20" s="14" t="inlineStr">
        <is>
          <t>Revenue/Hr</t>
        </is>
      </c>
      <c r="N20" s="8">
        <f>IF(C20=0, 0, (C20-B20)/B20)</f>
        <v/>
      </c>
    </row>
    <row r="21">
      <c r="A21" s="14" t="inlineStr">
        <is>
          <t>Sites/Hr</t>
        </is>
      </c>
      <c r="N21" s="8">
        <f>IF(C21=0, 0, (C21-B21)/B21)</f>
        <v/>
      </c>
    </row>
    <row r="22">
      <c r="A22" s="14" t="inlineStr">
        <is>
          <t>Cost/Acquisition</t>
        </is>
      </c>
      <c r="N22" s="8">
        <f>IF(C22=0, 0, (C22-B22)/B22)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5" t="inlineStr">
        <is>
          <t>FINANCIAL SUMMARY</t>
        </is>
      </c>
      <c r="B1" s="1" t="n"/>
      <c r="C1" s="1" t="n"/>
    </row>
    <row r="3">
      <c r="A3" s="3" t="inlineStr">
        <is>
          <t>REVENUE</t>
        </is>
      </c>
      <c r="B3" s="4" t="n"/>
      <c r="C3" s="4" t="n"/>
    </row>
    <row r="4">
      <c r="A4" t="inlineStr">
        <is>
          <t>Setup Fees (This Week)</t>
        </is>
      </c>
      <c r="B4" s="10" t="n"/>
    </row>
    <row r="5">
      <c r="A5" t="inlineStr">
        <is>
          <t>New MRR (This Week)</t>
        </is>
      </c>
      <c r="B5" s="10" t="n"/>
    </row>
    <row r="6">
      <c r="A6" t="inlineStr">
        <is>
          <t>Add-on Revenue</t>
        </is>
      </c>
      <c r="B6" s="10" t="n"/>
    </row>
    <row r="7">
      <c r="A7" t="inlineStr">
        <is>
          <t>Total Revenue (Week)</t>
        </is>
      </c>
      <c r="B7" s="6">
        <f>B4+B5+B6</f>
        <v/>
      </c>
    </row>
    <row r="9">
      <c r="A9" s="3" t="inlineStr">
        <is>
          <t>EXPENSES (Monthly)</t>
        </is>
      </c>
      <c r="B9" s="4" t="n"/>
      <c r="C9" s="4" t="n"/>
    </row>
    <row r="10">
      <c r="A10" t="inlineStr">
        <is>
          <t>Tools &amp; Software ($307 baseline)</t>
        </is>
      </c>
      <c r="B10" s="16" t="n">
        <v>307</v>
      </c>
    </row>
    <row r="11">
      <c r="A11" t="inlineStr">
        <is>
          <t>Domain Costs</t>
        </is>
      </c>
      <c r="B11" s="10" t="n"/>
    </row>
    <row r="12">
      <c r="A12" t="inlineStr">
        <is>
          <t>Other Expenses</t>
        </is>
      </c>
      <c r="B12" s="10" t="n"/>
    </row>
    <row r="13">
      <c r="A13" t="inlineStr">
        <is>
          <t>Total Monthly Expenses</t>
        </is>
      </c>
      <c r="B13" s="6">
        <f>B10+B11+B12</f>
        <v/>
      </c>
    </row>
    <row r="15">
      <c r="A15" s="3" t="inlineStr">
        <is>
          <t>PROFIT ANALYSIS</t>
        </is>
      </c>
      <c r="B15" s="4" t="n"/>
      <c r="C15" s="4" t="n"/>
    </row>
    <row r="16">
      <c r="A16" t="inlineStr">
        <is>
          <t>Monthly Burn Rate</t>
        </is>
      </c>
      <c r="B16" s="6">
        <f>B13</f>
        <v/>
      </c>
    </row>
    <row r="17">
      <c r="A17" t="inlineStr">
        <is>
          <t>Weekly Expenses</t>
        </is>
      </c>
      <c r="B17" s="6">
        <f>B16/4.33</f>
        <v/>
      </c>
    </row>
    <row r="18">
      <c r="A18" t="inlineStr">
        <is>
          <t>Weekly Profit</t>
        </is>
      </c>
      <c r="B18" s="6">
        <f>B7-B17</f>
        <v/>
      </c>
    </row>
    <row r="19">
      <c r="A19" t="inlineStr">
        <is>
          <t>Profit Margin %</t>
        </is>
      </c>
      <c r="B19" s="9">
        <f>IF(B7=0, 0, B18/B7)</f>
        <v/>
      </c>
    </row>
    <row r="21">
      <c r="A21" s="3" t="inlineStr">
        <is>
          <t>RUNWAY &amp; BREAK-EVEN</t>
        </is>
      </c>
      <c r="B21" s="4" t="n"/>
      <c r="C21" s="4" t="n"/>
    </row>
    <row r="22">
      <c r="A22" t="inlineStr">
        <is>
          <t>Cash on Hand</t>
        </is>
      </c>
      <c r="B22" s="10" t="n"/>
    </row>
    <row r="23">
      <c r="A23" t="inlineStr">
        <is>
          <t>Runway (months)</t>
        </is>
      </c>
      <c r="B23" s="17">
        <f>IF(B16=0, 0, B22/B16)</f>
        <v/>
      </c>
    </row>
    <row r="24">
      <c r="A24" t="inlineStr">
        <is>
          <t>Clients Needed to Break Even</t>
        </is>
      </c>
      <c r="B24" s="18">
        <f>IF(1000=0, 0, B16/1000)</f>
        <v/>
      </c>
    </row>
    <row r="25">
      <c r="A25" t="inlineStr">
        <is>
          <t>MRR Target (replace $X income)</t>
        </is>
      </c>
      <c r="B25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5" customWidth="1" min="10" max="10"/>
    <col width="15" customWidth="1" min="11" max="11"/>
  </cols>
  <sheetData>
    <row r="1">
      <c r="A1" s="15" t="inlineStr">
        <is>
          <t>CLIENT ROSTER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9" t="inlineStr">
        <is>
          <t>Client Name</t>
        </is>
      </c>
      <c r="B2" s="19" t="inlineStr">
        <is>
          <t>Business Name</t>
        </is>
      </c>
      <c r="C2" s="19" t="inlineStr">
        <is>
          <t>Niche</t>
        </is>
      </c>
      <c r="D2" s="19" t="inlineStr">
        <is>
          <t>Tier</t>
        </is>
      </c>
      <c r="E2" s="19" t="inlineStr">
        <is>
          <t>Setup Fee</t>
        </is>
      </c>
      <c r="F2" s="19" t="inlineStr">
        <is>
          <t>Monthly Fee</t>
        </is>
      </c>
      <c r="G2" s="19" t="inlineStr">
        <is>
          <t>Start Date</t>
        </is>
      </c>
      <c r="H2" s="19" t="inlineStr">
        <is>
          <t>Status</t>
        </is>
      </c>
      <c r="I2" s="19" t="inlineStr">
        <is>
          <t>Domain</t>
        </is>
      </c>
      <c r="J2" s="19" t="inlineStr">
        <is>
          <t>Monthly Revenue</t>
        </is>
      </c>
      <c r="K2" s="19" t="inlineStr">
        <is>
          <t>Lifetime Value</t>
        </is>
      </c>
    </row>
    <row r="3">
      <c r="A3" s="5" t="inlineStr"/>
      <c r="B3" s="5" t="inlineStr"/>
      <c r="C3" s="5" t="inlineStr"/>
      <c r="D3" s="5" t="inlineStr"/>
      <c r="E3" s="10" t="n">
        <v>0</v>
      </c>
      <c r="F3" s="10" t="n">
        <v>0</v>
      </c>
      <c r="G3" s="2" t="inlineStr"/>
      <c r="H3" s="5" t="inlineStr"/>
      <c r="I3" s="5" t="inlineStr"/>
      <c r="J3" s="6">
        <f>F3</f>
        <v/>
      </c>
      <c r="K3" s="6">
        <f>IF(G3="", 0, (TODAY()-G3)/365*12*F3)</f>
        <v/>
      </c>
    </row>
    <row r="4">
      <c r="A4" s="5" t="inlineStr"/>
      <c r="B4" s="5" t="inlineStr"/>
      <c r="C4" s="5" t="inlineStr"/>
      <c r="D4" s="5" t="inlineStr"/>
      <c r="E4" s="10" t="n">
        <v>0</v>
      </c>
      <c r="F4" s="10" t="n">
        <v>0</v>
      </c>
      <c r="G4" s="2" t="inlineStr"/>
      <c r="H4" s="5" t="inlineStr"/>
      <c r="I4" s="5" t="inlineStr"/>
      <c r="J4" s="6">
        <f>F4</f>
        <v/>
      </c>
      <c r="K4" s="6">
        <f>IF(G4="", 0, (TODAY()-G4)/365*12*F4)</f>
        <v/>
      </c>
    </row>
    <row r="5">
      <c r="A5" s="5" t="inlineStr"/>
      <c r="B5" s="5" t="inlineStr"/>
      <c r="C5" s="5" t="inlineStr"/>
      <c r="D5" s="5" t="inlineStr"/>
      <c r="E5" s="10" t="n">
        <v>0</v>
      </c>
      <c r="F5" s="10" t="n">
        <v>0</v>
      </c>
      <c r="G5" s="2" t="inlineStr"/>
      <c r="H5" s="5" t="inlineStr"/>
      <c r="I5" s="5" t="inlineStr"/>
      <c r="J5" s="6">
        <f>F5</f>
        <v/>
      </c>
      <c r="K5" s="6">
        <f>IF(G5="", 0, (TODAY()-G5)/365*12*F5)</f>
        <v/>
      </c>
    </row>
    <row r="6">
      <c r="A6" s="5" t="inlineStr"/>
      <c r="B6" s="5" t="inlineStr"/>
      <c r="C6" s="5" t="inlineStr"/>
      <c r="D6" s="5" t="inlineStr"/>
      <c r="E6" s="10" t="n">
        <v>0</v>
      </c>
      <c r="F6" s="10" t="n">
        <v>0</v>
      </c>
      <c r="G6" s="2" t="inlineStr"/>
      <c r="H6" s="5" t="inlineStr"/>
      <c r="I6" s="5" t="inlineStr"/>
      <c r="J6" s="6">
        <f>F6</f>
        <v/>
      </c>
      <c r="K6" s="6">
        <f>IF(G6="", 0, (TODAY()-G6)/365*12*F6)</f>
        <v/>
      </c>
    </row>
    <row r="7">
      <c r="A7" s="5" t="inlineStr"/>
      <c r="B7" s="5" t="inlineStr"/>
      <c r="C7" s="5" t="inlineStr"/>
      <c r="D7" s="5" t="inlineStr"/>
      <c r="E7" s="10" t="n">
        <v>0</v>
      </c>
      <c r="F7" s="10" t="n">
        <v>0</v>
      </c>
      <c r="G7" s="2" t="inlineStr"/>
      <c r="H7" s="5" t="inlineStr"/>
      <c r="I7" s="5" t="inlineStr"/>
      <c r="J7" s="6">
        <f>F7</f>
        <v/>
      </c>
      <c r="K7" s="6">
        <f>IF(G7="", 0, (TODAY()-G7)/365*12*F7)</f>
        <v/>
      </c>
    </row>
    <row r="8">
      <c r="A8" s="5" t="inlineStr"/>
      <c r="B8" s="5" t="inlineStr"/>
      <c r="C8" s="5" t="inlineStr"/>
      <c r="D8" s="5" t="inlineStr"/>
      <c r="E8" s="10" t="n">
        <v>0</v>
      </c>
      <c r="F8" s="10" t="n">
        <v>0</v>
      </c>
      <c r="G8" s="2" t="inlineStr"/>
      <c r="H8" s="5" t="inlineStr"/>
      <c r="I8" s="5" t="inlineStr"/>
      <c r="J8" s="6">
        <f>F8</f>
        <v/>
      </c>
      <c r="K8" s="6">
        <f>IF(G8="", 0, (TODAY()-G8)/365*12*F8)</f>
        <v/>
      </c>
    </row>
    <row r="9">
      <c r="A9" s="5" t="inlineStr"/>
      <c r="B9" s="5" t="inlineStr"/>
      <c r="C9" s="5" t="inlineStr"/>
      <c r="D9" s="5" t="inlineStr"/>
      <c r="E9" s="10" t="n">
        <v>0</v>
      </c>
      <c r="F9" s="10" t="n">
        <v>0</v>
      </c>
      <c r="G9" s="2" t="inlineStr"/>
      <c r="H9" s="5" t="inlineStr"/>
      <c r="I9" s="5" t="inlineStr"/>
      <c r="J9" s="6">
        <f>F9</f>
        <v/>
      </c>
      <c r="K9" s="6">
        <f>IF(G9="", 0, (TODAY()-G9)/365*12*F9)</f>
        <v/>
      </c>
    </row>
    <row r="10">
      <c r="A10" s="5" t="inlineStr"/>
      <c r="B10" s="5" t="inlineStr"/>
      <c r="C10" s="5" t="inlineStr"/>
      <c r="D10" s="5" t="inlineStr"/>
      <c r="E10" s="10" t="n">
        <v>0</v>
      </c>
      <c r="F10" s="10" t="n">
        <v>0</v>
      </c>
      <c r="G10" s="2" t="inlineStr"/>
      <c r="H10" s="5" t="inlineStr"/>
      <c r="I10" s="5" t="inlineStr"/>
      <c r="J10" s="6">
        <f>F10</f>
        <v/>
      </c>
      <c r="K10" s="6">
        <f>IF(G10="", 0, (TODAY()-G10)/365*12*F10)</f>
        <v/>
      </c>
    </row>
    <row r="11">
      <c r="A11" s="5" t="inlineStr"/>
      <c r="B11" s="5" t="inlineStr"/>
      <c r="C11" s="5" t="inlineStr"/>
      <c r="D11" s="5" t="inlineStr"/>
      <c r="E11" s="10" t="n">
        <v>0</v>
      </c>
      <c r="F11" s="10" t="n">
        <v>0</v>
      </c>
      <c r="G11" s="2" t="inlineStr"/>
      <c r="H11" s="5" t="inlineStr"/>
      <c r="I11" s="5" t="inlineStr"/>
      <c r="J11" s="6">
        <f>F11</f>
        <v/>
      </c>
      <c r="K11" s="6">
        <f>IF(G11="", 0, (TODAY()-G11)/365*12*F11)</f>
        <v/>
      </c>
    </row>
    <row r="12">
      <c r="A12" s="5" t="inlineStr"/>
      <c r="B12" s="5" t="inlineStr"/>
      <c r="C12" s="5" t="inlineStr"/>
      <c r="D12" s="5" t="inlineStr"/>
      <c r="E12" s="10" t="n">
        <v>0</v>
      </c>
      <c r="F12" s="10" t="n">
        <v>0</v>
      </c>
      <c r="G12" s="2" t="inlineStr"/>
      <c r="H12" s="5" t="inlineStr"/>
      <c r="I12" s="5" t="inlineStr"/>
      <c r="J12" s="6">
        <f>F12</f>
        <v/>
      </c>
      <c r="K12" s="6">
        <f>IF(G12="", 0, (TODAY()-G12)/365*12*F12)</f>
        <v/>
      </c>
    </row>
    <row r="13">
      <c r="A13" s="5" t="inlineStr"/>
      <c r="B13" s="5" t="inlineStr"/>
      <c r="C13" s="5" t="inlineStr"/>
      <c r="D13" s="5" t="inlineStr"/>
      <c r="E13" s="10" t="n">
        <v>0</v>
      </c>
      <c r="F13" s="10" t="n">
        <v>0</v>
      </c>
      <c r="G13" s="2" t="inlineStr"/>
      <c r="H13" s="5" t="inlineStr"/>
      <c r="I13" s="5" t="inlineStr"/>
      <c r="J13" s="6">
        <f>F13</f>
        <v/>
      </c>
      <c r="K13" s="6">
        <f>IF(G13="", 0, (TODAY()-G13)/365*12*F13)</f>
        <v/>
      </c>
    </row>
    <row r="14">
      <c r="A14" s="5" t="inlineStr"/>
      <c r="B14" s="5" t="inlineStr"/>
      <c r="C14" s="5" t="inlineStr"/>
      <c r="D14" s="5" t="inlineStr"/>
      <c r="E14" s="10" t="n">
        <v>0</v>
      </c>
      <c r="F14" s="10" t="n">
        <v>0</v>
      </c>
      <c r="G14" s="2" t="inlineStr"/>
      <c r="H14" s="5" t="inlineStr"/>
      <c r="I14" s="5" t="inlineStr"/>
      <c r="J14" s="6">
        <f>F14</f>
        <v/>
      </c>
      <c r="K14" s="6">
        <f>IF(G14="", 0, (TODAY()-G14)/365*12*F14)</f>
        <v/>
      </c>
    </row>
    <row r="15">
      <c r="A15" s="5" t="inlineStr"/>
      <c r="B15" s="5" t="inlineStr"/>
      <c r="C15" s="5" t="inlineStr"/>
      <c r="D15" s="5" t="inlineStr"/>
      <c r="E15" s="10" t="n">
        <v>0</v>
      </c>
      <c r="F15" s="10" t="n">
        <v>0</v>
      </c>
      <c r="G15" s="2" t="inlineStr"/>
      <c r="H15" s="5" t="inlineStr"/>
      <c r="I15" s="5" t="inlineStr"/>
      <c r="J15" s="6">
        <f>F15</f>
        <v/>
      </c>
      <c r="K15" s="6">
        <f>IF(G15="", 0, (TODAY()-G15)/365*12*F15)</f>
        <v/>
      </c>
    </row>
    <row r="16">
      <c r="A16" s="5" t="inlineStr"/>
      <c r="B16" s="5" t="inlineStr"/>
      <c r="C16" s="5" t="inlineStr"/>
      <c r="D16" s="5" t="inlineStr"/>
      <c r="E16" s="10" t="n">
        <v>0</v>
      </c>
      <c r="F16" s="10" t="n">
        <v>0</v>
      </c>
      <c r="G16" s="2" t="inlineStr"/>
      <c r="H16" s="5" t="inlineStr"/>
      <c r="I16" s="5" t="inlineStr"/>
      <c r="J16" s="6">
        <f>F16</f>
        <v/>
      </c>
      <c r="K16" s="6">
        <f>IF(G16="", 0, (TODAY()-G16)/365*12*F16)</f>
        <v/>
      </c>
    </row>
    <row r="17">
      <c r="A17" s="5" t="inlineStr"/>
      <c r="B17" s="5" t="inlineStr"/>
      <c r="C17" s="5" t="inlineStr"/>
      <c r="D17" s="5" t="inlineStr"/>
      <c r="E17" s="10" t="n">
        <v>0</v>
      </c>
      <c r="F17" s="10" t="n">
        <v>0</v>
      </c>
      <c r="G17" s="2" t="inlineStr"/>
      <c r="H17" s="5" t="inlineStr"/>
      <c r="I17" s="5" t="inlineStr"/>
      <c r="J17" s="6">
        <f>F17</f>
        <v/>
      </c>
      <c r="K17" s="6">
        <f>IF(G17="", 0, (TODAY()-G17)/365*12*F17)</f>
        <v/>
      </c>
    </row>
    <row r="18">
      <c r="A18" s="5" t="inlineStr"/>
      <c r="B18" s="5" t="inlineStr"/>
      <c r="C18" s="5" t="inlineStr"/>
      <c r="D18" s="5" t="inlineStr"/>
      <c r="E18" s="10" t="n">
        <v>0</v>
      </c>
      <c r="F18" s="10" t="n">
        <v>0</v>
      </c>
      <c r="G18" s="2" t="inlineStr"/>
      <c r="H18" s="5" t="inlineStr"/>
      <c r="I18" s="5" t="inlineStr"/>
      <c r="J18" s="6">
        <f>F18</f>
        <v/>
      </c>
      <c r="K18" s="6">
        <f>IF(G18="", 0, (TODAY()-G18)/365*12*F18)</f>
        <v/>
      </c>
    </row>
    <row r="19">
      <c r="A19" s="5" t="inlineStr"/>
      <c r="B19" s="5" t="inlineStr"/>
      <c r="C19" s="5" t="inlineStr"/>
      <c r="D19" s="5" t="inlineStr"/>
      <c r="E19" s="10" t="n">
        <v>0</v>
      </c>
      <c r="F19" s="10" t="n">
        <v>0</v>
      </c>
      <c r="G19" s="2" t="inlineStr"/>
      <c r="H19" s="5" t="inlineStr"/>
      <c r="I19" s="5" t="inlineStr"/>
      <c r="J19" s="6">
        <f>F19</f>
        <v/>
      </c>
      <c r="K19" s="6">
        <f>IF(G19="", 0, (TODAY()-G19)/365*12*F19)</f>
        <v/>
      </c>
    </row>
    <row r="20">
      <c r="A20" s="5" t="inlineStr"/>
      <c r="B20" s="5" t="inlineStr"/>
      <c r="C20" s="5" t="inlineStr"/>
      <c r="D20" s="5" t="inlineStr"/>
      <c r="E20" s="10" t="n">
        <v>0</v>
      </c>
      <c r="F20" s="10" t="n">
        <v>0</v>
      </c>
      <c r="G20" s="2" t="inlineStr"/>
      <c r="H20" s="5" t="inlineStr"/>
      <c r="I20" s="5" t="inlineStr"/>
      <c r="J20" s="6">
        <f>F20</f>
        <v/>
      </c>
      <c r="K20" s="6">
        <f>IF(G20="", 0, (TODAY()-G20)/365*12*F20)</f>
        <v/>
      </c>
    </row>
    <row r="21">
      <c r="A21" s="5" t="inlineStr"/>
      <c r="B21" s="5" t="inlineStr"/>
      <c r="C21" s="5" t="inlineStr"/>
      <c r="D21" s="5" t="inlineStr"/>
      <c r="E21" s="10" t="n">
        <v>0</v>
      </c>
      <c r="F21" s="10" t="n">
        <v>0</v>
      </c>
      <c r="G21" s="2" t="inlineStr"/>
      <c r="H21" s="5" t="inlineStr"/>
      <c r="I21" s="5" t="inlineStr"/>
      <c r="J21" s="6">
        <f>F21</f>
        <v/>
      </c>
      <c r="K21" s="6">
        <f>IF(G21="", 0, (TODAY()-G21)/365*12*F21)</f>
        <v/>
      </c>
    </row>
    <row r="22">
      <c r="A22" s="5" t="inlineStr"/>
      <c r="B22" s="5" t="inlineStr"/>
      <c r="C22" s="5" t="inlineStr"/>
      <c r="D22" s="5" t="inlineStr"/>
      <c r="E22" s="10" t="n">
        <v>0</v>
      </c>
      <c r="F22" s="10" t="n">
        <v>0</v>
      </c>
      <c r="G22" s="2" t="inlineStr"/>
      <c r="H22" s="5" t="inlineStr"/>
      <c r="I22" s="5" t="inlineStr"/>
      <c r="J22" s="6">
        <f>F22</f>
        <v/>
      </c>
      <c r="K22" s="6">
        <f>IF(G22="", 0, (TODAY()-G22)/365*12*F22)</f>
        <v/>
      </c>
    </row>
    <row r="23">
      <c r="A23" s="3" t="inlineStr">
        <is>
          <t>SUMMARY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t="inlineStr">
        <is>
          <t>Total Clients</t>
        </is>
      </c>
      <c r="B24" s="12">
        <f>COUNTA(A3:A22)</f>
        <v/>
      </c>
    </row>
    <row r="25">
      <c r="A25" t="inlineStr">
        <is>
          <t>Total MRR</t>
        </is>
      </c>
      <c r="B25" s="6">
        <f>SUM(F3:F22)</f>
        <v/>
      </c>
    </row>
    <row r="26">
      <c r="A26" t="inlineStr">
        <is>
          <t>Average Monthly Fee</t>
        </is>
      </c>
      <c r="B26" s="6">
        <f>AVERAGE(F3:F22)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5" t="inlineStr">
        <is>
          <t>GOALS &amp; TARGETS</t>
        </is>
      </c>
      <c r="B1" s="1" t="n"/>
      <c r="C1" s="1" t="n"/>
      <c r="D1" s="1" t="n"/>
      <c r="E1" s="1" t="n"/>
    </row>
    <row r="3">
      <c r="A3" s="20" t="inlineStr">
        <is>
          <t>Milestone</t>
        </is>
      </c>
      <c r="B3" s="20" t="inlineStr">
        <is>
          <t>Clients Target</t>
        </is>
      </c>
      <c r="C3" s="20" t="inlineStr">
        <is>
          <t>Setup Revenue Target</t>
        </is>
      </c>
      <c r="D3" s="20" t="inlineStr">
        <is>
          <t>MRR Target</t>
        </is>
      </c>
      <c r="E3" s="20" t="inlineStr">
        <is>
          <t>Status</t>
        </is>
      </c>
    </row>
    <row r="4">
      <c r="A4" t="inlineStr">
        <is>
          <t>Month 1</t>
        </is>
      </c>
      <c r="B4" s="14" t="n">
        <v>5</v>
      </c>
      <c r="C4" s="21" t="n">
        <v>5000</v>
      </c>
      <c r="D4" s="21" t="n">
        <v>750</v>
      </c>
      <c r="E4" t="inlineStr">
        <is>
          <t>—</t>
        </is>
      </c>
    </row>
    <row r="5">
      <c r="A5" t="inlineStr">
        <is>
          <t>Month 2</t>
        </is>
      </c>
      <c r="B5" s="14" t="n">
        <v>10</v>
      </c>
      <c r="C5" s="21" t="n">
        <v>5000</v>
      </c>
      <c r="D5" s="21" t="n">
        <v>1500</v>
      </c>
      <c r="E5" t="inlineStr">
        <is>
          <t>—</t>
        </is>
      </c>
    </row>
    <row r="6">
      <c r="A6" t="inlineStr">
        <is>
          <t>Month 3</t>
        </is>
      </c>
      <c r="B6" s="14" t="n">
        <v>20</v>
      </c>
      <c r="C6" s="21" t="n">
        <v>5000</v>
      </c>
      <c r="D6" s="21" t="n">
        <v>3000</v>
      </c>
      <c r="E6" t="inlineStr">
        <is>
          <t>—</t>
        </is>
      </c>
    </row>
    <row r="7">
      <c r="A7" t="inlineStr">
        <is>
          <t>Month 6</t>
        </is>
      </c>
      <c r="B7" s="14" t="n">
        <v>40</v>
      </c>
      <c r="C7" s="21" t="n">
        <v>10000</v>
      </c>
      <c r="D7" s="21" t="n">
        <v>6000</v>
      </c>
      <c r="E7" t="inlineStr">
        <is>
          <t>—</t>
        </is>
      </c>
    </row>
    <row r="8">
      <c r="A8" t="inlineStr">
        <is>
          <t>Month 12</t>
        </is>
      </c>
      <c r="B8" s="14" t="n">
        <v>80</v>
      </c>
      <c r="C8" s="21" t="n">
        <v>15000</v>
      </c>
      <c r="D8" s="21" t="n">
        <v>20000</v>
      </c>
      <c r="E8" t="inlineStr">
        <is>
          <t>—</t>
        </is>
      </c>
    </row>
    <row r="10">
      <c r="A10" s="3" t="inlineStr">
        <is>
          <t>ACTUAL vs TARGET</t>
        </is>
      </c>
      <c r="B10" s="4" t="n"/>
      <c r="C10" s="4" t="n"/>
      <c r="D10" s="4" t="n"/>
      <c r="E10" s="4" t="n"/>
    </row>
    <row r="11">
      <c r="A11" s="22" t="inlineStr">
        <is>
          <t>Metric</t>
        </is>
      </c>
      <c r="B11" s="22" t="inlineStr">
        <is>
          <t>Actual</t>
        </is>
      </c>
      <c r="C11" s="22" t="inlineStr">
        <is>
          <t>Target</t>
        </is>
      </c>
      <c r="D11" s="22" t="inlineStr">
        <is>
          <t>Variance</t>
        </is>
      </c>
      <c r="E11" s="22" t="inlineStr">
        <is>
          <t>Status</t>
        </is>
      </c>
    </row>
    <row r="12">
      <c r="A12" t="inlineStr">
        <is>
          <t>Total Clients</t>
        </is>
      </c>
      <c r="B12" s="12">
        <f>'Client Roster'!B24</f>
        <v/>
      </c>
      <c r="C12" s="14" t="n">
        <v>5</v>
      </c>
      <c r="D12" s="23">
        <f>IF(B12=0, 0, (B12-C12)/C12)</f>
        <v/>
      </c>
    </row>
    <row r="13">
      <c r="A13" t="inlineStr">
        <is>
          <t>Setup Fees (Month)</t>
        </is>
      </c>
      <c r="B13" s="12">
        <f>'Financial Summary'!B5</f>
        <v/>
      </c>
      <c r="C13" s="14" t="n">
        <v>5000</v>
      </c>
      <c r="D13" s="23">
        <f>IF(B13=0, 0, (B13-C13)/C13)</f>
        <v/>
      </c>
    </row>
    <row r="14">
      <c r="A14" t="inlineStr">
        <is>
          <t>Total MRR</t>
        </is>
      </c>
      <c r="B14" s="12">
        <f>'Client Roster'!B25</f>
        <v/>
      </c>
      <c r="C14" s="14" t="n">
        <v>750</v>
      </c>
      <c r="D14" s="23">
        <f>IF(B14=0, 0, (B14-C14)/C14)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2026-03-25T08:07:25Z</dcterms:created>
  <dcterms:modified xmlns:dcterms="http://purl.org/dc/terms/" xmlns:xsi="http://www.w3.org/2001/XMLSchema-instance" xsi:type="dcterms:W3CDTF">2026-03-25T08:07:29Z</dcterms:modified>
</cp:coreProperties>
</file>