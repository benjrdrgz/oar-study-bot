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Week-by-Week" sheetId="2" state="visible" r:id="rId2"/>
    <sheet xmlns:r="http://schemas.openxmlformats.org/officeDocument/2006/relationships" name="3 Scenarios" sheetId="3" state="visible" r:id="rId3"/>
    <sheet xmlns:r="http://schemas.openxmlformats.org/officeDocument/2006/relationships" name="Monthly P&amp;L" sheetId="4" state="visible" r:id="rId4"/>
    <sheet xmlns:r="http://schemas.openxmlformats.org/officeDocument/2006/relationships" name="Revenue 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color rgb="000070C0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164" fontId="4" fillId="3" borderId="0" pivotButton="0" quotePrefix="0" xfId="0"/>
    <xf numFmtId="0" fontId="5" fillId="0" borderId="0" pivotButton="0" quotePrefix="0" xfId="0"/>
    <xf numFmtId="165" fontId="4" fillId="3" borderId="0" pivotButton="0" quotePrefix="0" xfId="0"/>
    <xf numFmtId="164" fontId="6" fillId="0" borderId="0" pivotButton="0" quotePrefix="0" xfId="0"/>
    <xf numFmtId="1" fontId="4" fillId="3" borderId="0" pivotButton="0" quotePrefix="0" xfId="0"/>
    <xf numFmtId="0" fontId="4" fillId="3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ASSUMPTIONS</t>
        </is>
      </c>
    </row>
    <row r="3">
      <c r="A3" s="2" t="inlineStr">
        <is>
          <t>PRICING TIERS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Tier 1 Setup Fee</t>
        </is>
      </c>
      <c r="B5" s="5" t="n">
        <v>997</v>
      </c>
    </row>
    <row r="6">
      <c r="A6" s="4" t="inlineStr">
        <is>
          <t>Tier 1 Monthly Fee</t>
        </is>
      </c>
      <c r="B6" s="5" t="n">
        <v>149</v>
      </c>
    </row>
    <row r="7">
      <c r="A7" s="4" t="inlineStr">
        <is>
          <t>Tier 2 Setup Fee</t>
        </is>
      </c>
      <c r="B7" s="5" t="n">
        <v>1997</v>
      </c>
    </row>
    <row r="8">
      <c r="A8" s="4" t="inlineStr">
        <is>
          <t>Tier 2 Monthly Fee</t>
        </is>
      </c>
      <c r="B8" s="5" t="n">
        <v>249</v>
      </c>
    </row>
    <row r="9">
      <c r="A9" s="4" t="inlineStr">
        <is>
          <t>Tier 3 Setup Fee</t>
        </is>
      </c>
      <c r="B9" s="5" t="n">
        <v>3497</v>
      </c>
    </row>
    <row r="10">
      <c r="A10" s="4" t="inlineStr">
        <is>
          <t>Tier 3 Monthly Fee</t>
        </is>
      </c>
      <c r="B10" s="5" t="n">
        <v>397</v>
      </c>
    </row>
    <row r="12">
      <c r="A12" s="6" t="inlineStr">
        <is>
          <t>TIER MIX (% of closes)</t>
        </is>
      </c>
    </row>
    <row r="13">
      <c r="A13" t="inlineStr">
        <is>
          <t>Tier 1 %</t>
        </is>
      </c>
      <c r="B13" s="7" t="n">
        <v>0.6</v>
      </c>
    </row>
    <row r="14">
      <c r="A14" t="inlineStr">
        <is>
          <t>Tier 2 %</t>
        </is>
      </c>
      <c r="B14" s="7" t="n">
        <v>0.3</v>
      </c>
    </row>
    <row r="15">
      <c r="A15" t="inlineStr">
        <is>
          <t>Tier 3 %</t>
        </is>
      </c>
      <c r="B15" s="7" t="n">
        <v>0.1</v>
      </c>
    </row>
    <row r="17">
      <c r="A17" s="6" t="inlineStr">
        <is>
          <t>MONTHLY COSTS</t>
        </is>
      </c>
    </row>
    <row r="18">
      <c r="A18" t="inlineStr">
        <is>
          <t>Claude Max</t>
        </is>
      </c>
      <c r="B18" s="5" t="n">
        <v>200</v>
      </c>
    </row>
    <row r="19">
      <c r="A19" t="inlineStr">
        <is>
          <t>Lovable</t>
        </is>
      </c>
      <c r="B19" s="5" t="n">
        <v>50</v>
      </c>
    </row>
    <row r="20">
      <c r="A20" t="inlineStr">
        <is>
          <t>Instantly.ai</t>
        </is>
      </c>
      <c r="B20" s="5" t="n">
        <v>37</v>
      </c>
    </row>
    <row r="21">
      <c r="A21" t="inlineStr">
        <is>
          <t>Google Workspace</t>
        </is>
      </c>
      <c r="B21" s="5" t="n">
        <v>14</v>
      </c>
    </row>
    <row r="22">
      <c r="A22" t="inlineStr">
        <is>
          <t>Outscraper</t>
        </is>
      </c>
      <c r="B22" s="5" t="n">
        <v>10</v>
      </c>
    </row>
    <row r="23">
      <c r="A23" t="inlineStr">
        <is>
          <t>Domains</t>
        </is>
      </c>
      <c r="B23" s="5" t="n">
        <v>3</v>
      </c>
    </row>
    <row r="24">
      <c r="A24" s="6" t="inlineStr">
        <is>
          <t>TOTAL MONTHLY COSTS</t>
        </is>
      </c>
      <c r="B24" s="8">
        <f>SUM(B18:B23)</f>
        <v/>
      </c>
    </row>
    <row r="26">
      <c r="A26" s="6" t="inlineStr">
        <is>
          <t>EMAIL CAMPAIGN</t>
        </is>
      </c>
      <c r="B26" s="9" t="n">
        <v>100</v>
      </c>
    </row>
    <row r="27">
      <c r="A27" t="inlineStr">
        <is>
          <t>Emails per week (target)</t>
        </is>
      </c>
      <c r="B27" s="7" t="n">
        <v>0.05</v>
      </c>
    </row>
    <row r="28">
      <c r="A28" t="inlineStr">
        <is>
          <t>Reply rate (conservative)</t>
        </is>
      </c>
      <c r="B28" s="7" t="n">
        <v>0.1</v>
      </c>
    </row>
    <row r="29">
      <c r="A29" t="inlineStr">
        <is>
          <t>Reply rate (realistic)</t>
        </is>
      </c>
      <c r="B29" s="7" t="n">
        <v>0.15</v>
      </c>
    </row>
    <row r="30">
      <c r="A30" t="inlineStr">
        <is>
          <t>Reply rate (optimistic)</t>
        </is>
      </c>
      <c r="B30" s="7" t="n">
        <v>0.2</v>
      </c>
    </row>
    <row r="31">
      <c r="A31" t="inlineStr">
        <is>
          <t>Close rate on replies</t>
        </is>
      </c>
    </row>
    <row r="32">
      <c r="B32" s="7" t="n">
        <v>0.05</v>
      </c>
    </row>
    <row r="33">
      <c r="A33" s="6" t="inlineStr">
        <is>
          <t>BUSINESS METRICS</t>
        </is>
      </c>
      <c r="B33" s="10" t="n">
        <v>20</v>
      </c>
    </row>
    <row r="34">
      <c r="A34" t="inlineStr">
        <is>
          <t>Monthly churn rate</t>
        </is>
      </c>
      <c r="B34" s="5" t="n">
        <v>100</v>
      </c>
    </row>
    <row r="35">
      <c r="A35" t="inlineStr">
        <is>
          <t>Hours per week (owner)</t>
        </is>
      </c>
    </row>
    <row r="36">
      <c r="A36" t="inlineStr">
        <is>
          <t>Hourly value target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12-WEEK PROJECTION</t>
        </is>
      </c>
    </row>
    <row r="2">
      <c r="A2" t="inlineStr">
        <is>
          <t>Week</t>
        </is>
      </c>
      <c r="B2" s="11" t="inlineStr">
        <is>
          <t>Week 1</t>
        </is>
      </c>
      <c r="C2" s="11" t="inlineStr">
        <is>
          <t>Week 2</t>
        </is>
      </c>
      <c r="D2" s="11" t="inlineStr">
        <is>
          <t>Week 3</t>
        </is>
      </c>
      <c r="E2" s="11" t="inlineStr">
        <is>
          <t>Week 4</t>
        </is>
      </c>
      <c r="F2" s="11" t="inlineStr">
        <is>
          <t>Week 5</t>
        </is>
      </c>
      <c r="G2" s="11" t="inlineStr">
        <is>
          <t>Week 6</t>
        </is>
      </c>
      <c r="H2" s="11" t="inlineStr">
        <is>
          <t>Week 7</t>
        </is>
      </c>
      <c r="I2" s="11" t="inlineStr">
        <is>
          <t>Week 8</t>
        </is>
      </c>
      <c r="J2" s="11" t="inlineStr">
        <is>
          <t>Week 9</t>
        </is>
      </c>
      <c r="K2" s="11" t="inlineStr">
        <is>
          <t>Week 10</t>
        </is>
      </c>
      <c r="L2" s="11" t="inlineStr">
        <is>
          <t>Week 11</t>
        </is>
      </c>
      <c r="M2" s="11" t="inlineStr">
        <is>
          <t>Week 12</t>
        </is>
      </c>
    </row>
    <row r="3">
      <c r="A3" s="12" t="inlineStr">
        <is>
          <t>Leads scraped</t>
        </is>
      </c>
      <c r="B3" s="13" t="n">
        <v>20</v>
      </c>
      <c r="C3" s="13" t="n">
        <v>27</v>
      </c>
      <c r="D3" s="13" t="n">
        <v>34</v>
      </c>
      <c r="E3" s="13" t="n">
        <v>41</v>
      </c>
      <c r="F3" s="13" t="n">
        <v>48</v>
      </c>
      <c r="G3" s="13" t="n">
        <v>55</v>
      </c>
      <c r="H3" s="13" t="n">
        <v>62</v>
      </c>
      <c r="I3" s="13" t="n">
        <v>69</v>
      </c>
      <c r="J3" s="13" t="n">
        <v>76</v>
      </c>
      <c r="K3" s="13" t="n">
        <v>83</v>
      </c>
      <c r="L3" s="13" t="n">
        <v>90</v>
      </c>
      <c r="M3" s="13" t="n">
        <v>97</v>
      </c>
    </row>
    <row r="4">
      <c r="A4" s="12" t="inlineStr">
        <is>
          <t>Demo sites built</t>
        </is>
      </c>
      <c r="B4" s="13">
        <f>ROUND(B3*0.5,0)</f>
        <v/>
      </c>
      <c r="C4" s="13">
        <f>ROUND(C3*0.5,0)</f>
        <v/>
      </c>
      <c r="D4" s="13">
        <f>ROUND(D3*0.5,0)</f>
        <v/>
      </c>
      <c r="E4" s="13">
        <f>ROUND(E3*0.5,0)</f>
        <v/>
      </c>
      <c r="F4" s="13">
        <f>ROUND(F3*0.5,0)</f>
        <v/>
      </c>
      <c r="G4" s="13">
        <f>ROUND(G3*0.5,0)</f>
        <v/>
      </c>
      <c r="H4" s="13">
        <f>ROUND(H3*0.5,0)</f>
        <v/>
      </c>
      <c r="I4" s="13">
        <f>ROUND(I3*0.5,0)</f>
        <v/>
      </c>
      <c r="J4" s="13">
        <f>ROUND(J3*0.5,0)</f>
        <v/>
      </c>
      <c r="K4" s="13">
        <f>ROUND(K3*0.5,0)</f>
        <v/>
      </c>
      <c r="L4" s="13">
        <f>ROUND(L3*0.5,0)</f>
        <v/>
      </c>
      <c r="M4" s="13">
        <f>ROUND(M3*0.5,0)</f>
        <v/>
      </c>
    </row>
    <row r="5">
      <c r="A5" s="12" t="inlineStr">
        <is>
          <t>Emails sent</t>
        </is>
      </c>
      <c r="B5" s="13" t="n">
        <v>0</v>
      </c>
      <c r="C5" s="13" t="n">
        <v>0</v>
      </c>
      <c r="D5" s="13" t="n">
        <v>20</v>
      </c>
      <c r="E5" s="13" t="n">
        <v>35</v>
      </c>
      <c r="F5" s="13" t="n">
        <v>50</v>
      </c>
      <c r="G5" s="13" t="n">
        <v>65</v>
      </c>
      <c r="H5" s="13" t="n">
        <v>80</v>
      </c>
      <c r="I5" s="13" t="n">
        <v>95</v>
      </c>
      <c r="J5" s="13" t="n">
        <v>100</v>
      </c>
      <c r="K5" s="13" t="n">
        <v>100</v>
      </c>
      <c r="L5" s="13" t="n">
        <v>100</v>
      </c>
      <c r="M5" s="13" t="n">
        <v>100</v>
      </c>
    </row>
    <row r="6">
      <c r="A6" s="12" t="inlineStr">
        <is>
          <t>Expected replies</t>
        </is>
      </c>
      <c r="B6" s="13">
        <f>ROUND(B5*Assumptions!$B$28,0)</f>
        <v/>
      </c>
      <c r="C6" s="13">
        <f>ROUND(C5*Assumptions!$B$28,0)</f>
        <v/>
      </c>
      <c r="D6" s="13">
        <f>ROUND(D5*Assumptions!$B$28,0)</f>
        <v/>
      </c>
      <c r="E6" s="13">
        <f>ROUND(E5*Assumptions!$B$28,0)</f>
        <v/>
      </c>
      <c r="F6" s="13">
        <f>ROUND(F5*Assumptions!$B$28,0)</f>
        <v/>
      </c>
      <c r="G6" s="13">
        <f>ROUND(G5*Assumptions!$B$28,0)</f>
        <v/>
      </c>
      <c r="H6" s="13">
        <f>ROUND(H5*Assumptions!$B$28,0)</f>
        <v/>
      </c>
      <c r="I6" s="13">
        <f>ROUND(I5*Assumptions!$B$28,0)</f>
        <v/>
      </c>
      <c r="J6" s="13">
        <f>ROUND(J5*Assumptions!$B$28,0)</f>
        <v/>
      </c>
      <c r="K6" s="13">
        <f>ROUND(K5*Assumptions!$B$28,0)</f>
        <v/>
      </c>
      <c r="L6" s="13">
        <f>ROUND(L5*Assumptions!$B$28,0)</f>
        <v/>
      </c>
      <c r="M6" s="13">
        <f>ROUND(M5*Assumptions!$B$28,0)</f>
        <v/>
      </c>
    </row>
    <row r="7">
      <c r="A7" s="12" t="inlineStr">
        <is>
          <t>Expected closes</t>
        </is>
      </c>
      <c r="B7" s="13">
        <f>ROUND(B6*Assumptions!$B$30,0)</f>
        <v/>
      </c>
      <c r="C7" s="13">
        <f>ROUND(C6*Assumptions!$B$30,0)</f>
        <v/>
      </c>
      <c r="D7" s="13">
        <f>ROUND(D6*Assumptions!$B$30,0)</f>
        <v/>
      </c>
      <c r="E7" s="13">
        <f>ROUND(E6*Assumptions!$B$30,0)</f>
        <v/>
      </c>
      <c r="F7" s="13">
        <f>ROUND(F6*Assumptions!$B$30,0)</f>
        <v/>
      </c>
      <c r="G7" s="13">
        <f>ROUND(G6*Assumptions!$B$30,0)</f>
        <v/>
      </c>
      <c r="H7" s="13">
        <f>ROUND(H6*Assumptions!$B$30,0)</f>
        <v/>
      </c>
      <c r="I7" s="13">
        <f>ROUND(I6*Assumptions!$B$30,0)</f>
        <v/>
      </c>
      <c r="J7" s="13">
        <f>ROUND(J6*Assumptions!$B$30,0)</f>
        <v/>
      </c>
      <c r="K7" s="13">
        <f>ROUND(K6*Assumptions!$B$30,0)</f>
        <v/>
      </c>
      <c r="L7" s="13">
        <f>ROUND(L6*Assumptions!$B$30,0)</f>
        <v/>
      </c>
      <c r="M7" s="13">
        <f>ROUND(M6*Assumptions!$B$30,0)</f>
        <v/>
      </c>
    </row>
    <row r="8">
      <c r="A8" s="12" t="inlineStr">
        <is>
          <t>New setup revenue</t>
        </is>
      </c>
      <c r="B8" s="14">
        <f>B7*(Assumptions!$B$5*Assumptions!$B$13+Assumptions!$B$7*Assumptions!$B$14+Assumptions!$B$9*Assumptions!$B$15)</f>
        <v/>
      </c>
      <c r="C8" s="14">
        <f>C7*(Assumptions!$B$5*Assumptions!$B$13+Assumptions!$B$7*Assumptions!$B$14+Assumptions!$B$9*Assumptions!$B$15)</f>
        <v/>
      </c>
      <c r="D8" s="14">
        <f>D7*(Assumptions!$B$5*Assumptions!$B$13+Assumptions!$B$7*Assumptions!$B$14+Assumptions!$B$9*Assumptions!$B$15)</f>
        <v/>
      </c>
      <c r="E8" s="14">
        <f>E7*(Assumptions!$B$5*Assumptions!$B$13+Assumptions!$B$7*Assumptions!$B$14+Assumptions!$B$9*Assumptions!$B$15)</f>
        <v/>
      </c>
      <c r="F8" s="14">
        <f>F7*(Assumptions!$B$5*Assumptions!$B$13+Assumptions!$B$7*Assumptions!$B$14+Assumptions!$B$9*Assumptions!$B$15)</f>
        <v/>
      </c>
      <c r="G8" s="14">
        <f>G7*(Assumptions!$B$5*Assumptions!$B$13+Assumptions!$B$7*Assumptions!$B$14+Assumptions!$B$9*Assumptions!$B$15)</f>
        <v/>
      </c>
      <c r="H8" s="14">
        <f>H7*(Assumptions!$B$5*Assumptions!$B$13+Assumptions!$B$7*Assumptions!$B$14+Assumptions!$B$9*Assumptions!$B$15)</f>
        <v/>
      </c>
      <c r="I8" s="14">
        <f>I7*(Assumptions!$B$5*Assumptions!$B$13+Assumptions!$B$7*Assumptions!$B$14+Assumptions!$B$9*Assumptions!$B$15)</f>
        <v/>
      </c>
      <c r="J8" s="14">
        <f>J7*(Assumptions!$B$5*Assumptions!$B$13+Assumptions!$B$7*Assumptions!$B$14+Assumptions!$B$9*Assumptions!$B$15)</f>
        <v/>
      </c>
      <c r="K8" s="14">
        <f>K7*(Assumptions!$B$5*Assumptions!$B$13+Assumptions!$B$7*Assumptions!$B$14+Assumptions!$B$9*Assumptions!$B$15)</f>
        <v/>
      </c>
      <c r="L8" s="14">
        <f>L7*(Assumptions!$B$5*Assumptions!$B$13+Assumptions!$B$7*Assumptions!$B$14+Assumptions!$B$9*Assumptions!$B$15)</f>
        <v/>
      </c>
      <c r="M8" s="14">
        <f>M7*(Assumptions!$B$5*Assumptions!$B$13+Assumptions!$B$7*Assumptions!$B$14+Assumptions!$B$9*Assumptions!$B$15)</f>
        <v/>
      </c>
    </row>
    <row r="9">
      <c r="A9" s="12" t="inlineStr">
        <is>
          <t>New MRR added</t>
        </is>
      </c>
      <c r="B9" s="14">
        <f>B7*(Assumptions!$B$6*Assumptions!$B$13+Assumptions!$B$8*Assumptions!$B$14+Assumptions!$B$10*Assumptions!$B$15)</f>
        <v/>
      </c>
      <c r="C9" s="14">
        <f>C7*(Assumptions!$B$6*Assumptions!$B$13+Assumptions!$B$8*Assumptions!$B$14+Assumptions!$B$10*Assumptions!$B$15)</f>
        <v/>
      </c>
      <c r="D9" s="14">
        <f>D7*(Assumptions!$B$6*Assumptions!$B$13+Assumptions!$B$8*Assumptions!$B$14+Assumptions!$B$10*Assumptions!$B$15)</f>
        <v/>
      </c>
      <c r="E9" s="14">
        <f>E7*(Assumptions!$B$6*Assumptions!$B$13+Assumptions!$B$8*Assumptions!$B$14+Assumptions!$B$10*Assumptions!$B$15)</f>
        <v/>
      </c>
      <c r="F9" s="14">
        <f>F7*(Assumptions!$B$6*Assumptions!$B$13+Assumptions!$B$8*Assumptions!$B$14+Assumptions!$B$10*Assumptions!$B$15)</f>
        <v/>
      </c>
      <c r="G9" s="14">
        <f>G7*(Assumptions!$B$6*Assumptions!$B$13+Assumptions!$B$8*Assumptions!$B$14+Assumptions!$B$10*Assumptions!$B$15)</f>
        <v/>
      </c>
      <c r="H9" s="14">
        <f>H7*(Assumptions!$B$6*Assumptions!$B$13+Assumptions!$B$8*Assumptions!$B$14+Assumptions!$B$10*Assumptions!$B$15)</f>
        <v/>
      </c>
      <c r="I9" s="14">
        <f>I7*(Assumptions!$B$6*Assumptions!$B$13+Assumptions!$B$8*Assumptions!$B$14+Assumptions!$B$10*Assumptions!$B$15)</f>
        <v/>
      </c>
      <c r="J9" s="14">
        <f>J7*(Assumptions!$B$6*Assumptions!$B$13+Assumptions!$B$8*Assumptions!$B$14+Assumptions!$B$10*Assumptions!$B$15)</f>
        <v/>
      </c>
      <c r="K9" s="14">
        <f>K7*(Assumptions!$B$6*Assumptions!$B$13+Assumptions!$B$8*Assumptions!$B$14+Assumptions!$B$10*Assumptions!$B$15)</f>
        <v/>
      </c>
      <c r="L9" s="14">
        <f>L7*(Assumptions!$B$6*Assumptions!$B$13+Assumptions!$B$8*Assumptions!$B$14+Assumptions!$B$10*Assumptions!$B$15)</f>
        <v/>
      </c>
      <c r="M9" s="14">
        <f>M7*(Assumptions!$B$6*Assumptions!$B$13+Assumptions!$B$8*Assumptions!$B$14+Assumptions!$B$10*Assumptions!$B$15)</f>
        <v/>
      </c>
    </row>
    <row r="10">
      <c r="A10" s="12" t="inlineStr">
        <is>
          <t>Cumulative clients</t>
        </is>
      </c>
      <c r="B10" s="13">
        <f>B7</f>
        <v/>
      </c>
      <c r="C10" s="13">
        <f>B10+C7-ROUND(B10*Assumptions!$B$32,0)</f>
        <v/>
      </c>
      <c r="D10" s="13">
        <f>C10+D7-ROUND(C10*Assumptions!$B$32,0)</f>
        <v/>
      </c>
      <c r="E10" s="13">
        <f>D10+E7-ROUND(D10*Assumptions!$B$32,0)</f>
        <v/>
      </c>
      <c r="F10" s="13">
        <f>E10+F7-ROUND(E10*Assumptions!$B$32,0)</f>
        <v/>
      </c>
      <c r="G10" s="13">
        <f>F10+G7-ROUND(F10*Assumptions!$B$32,0)</f>
        <v/>
      </c>
      <c r="H10" s="13">
        <f>G10+H7-ROUND(G10*Assumptions!$B$32,0)</f>
        <v/>
      </c>
      <c r="I10" s="13">
        <f>H10+I7-ROUND(H10*Assumptions!$B$32,0)</f>
        <v/>
      </c>
      <c r="J10" s="13">
        <f>I10+J7-ROUND(I10*Assumptions!$B$32,0)</f>
        <v/>
      </c>
      <c r="K10" s="13">
        <f>J10+K7-ROUND(J10*Assumptions!$B$32,0)</f>
        <v/>
      </c>
      <c r="L10" s="13">
        <f>K10+L7-ROUND(K10*Assumptions!$B$32,0)</f>
        <v/>
      </c>
      <c r="M10" s="13">
        <f>L10+M7-ROUND(L10*Assumptions!$B$32,0)</f>
        <v/>
      </c>
    </row>
    <row r="11">
      <c r="A11" s="12" t="inlineStr">
        <is>
          <t>Cumulative MRR</t>
        </is>
      </c>
      <c r="B11" s="14">
        <f>B9</f>
        <v/>
      </c>
      <c r="C11" s="14">
        <f>B11+C9-ROUND(B11*Assumptions!$B$32,0)</f>
        <v/>
      </c>
      <c r="D11" s="14">
        <f>C11+D9-ROUND(C11*Assumptions!$B$32,0)</f>
        <v/>
      </c>
      <c r="E11" s="14">
        <f>D11+E9-ROUND(D11*Assumptions!$B$32,0)</f>
        <v/>
      </c>
      <c r="F11" s="14">
        <f>E11+F9-ROUND(E11*Assumptions!$B$32,0)</f>
        <v/>
      </c>
      <c r="G11" s="14">
        <f>F11+G9-ROUND(F11*Assumptions!$B$32,0)</f>
        <v/>
      </c>
      <c r="H11" s="14">
        <f>G11+H9-ROUND(G11*Assumptions!$B$32,0)</f>
        <v/>
      </c>
      <c r="I11" s="14">
        <f>H11+I9-ROUND(H11*Assumptions!$B$32,0)</f>
        <v/>
      </c>
      <c r="J11" s="14">
        <f>I11+J9-ROUND(I11*Assumptions!$B$32,0)</f>
        <v/>
      </c>
      <c r="K11" s="14">
        <f>J11+K9-ROUND(J11*Assumptions!$B$32,0)</f>
        <v/>
      </c>
      <c r="L11" s="14">
        <f>K11+L9-ROUND(K11*Assumptions!$B$32,0)</f>
        <v/>
      </c>
      <c r="M11" s="14">
        <f>L11+M9-ROUND(L11*Assumptions!$B$32,0)</f>
        <v/>
      </c>
    </row>
    <row r="12">
      <c r="A12" s="12" t="inlineStr">
        <is>
          <t>Weekly revenue</t>
        </is>
      </c>
      <c r="B12" s="14">
        <f>B8+B11/4.33</f>
        <v/>
      </c>
      <c r="C12" s="14">
        <f>C8+C11/4.33</f>
        <v/>
      </c>
      <c r="D12" s="14">
        <f>D8+D11/4.33</f>
        <v/>
      </c>
      <c r="E12" s="14">
        <f>E8+E11/4.33</f>
        <v/>
      </c>
      <c r="F12" s="14">
        <f>F8+F11/4.33</f>
        <v/>
      </c>
      <c r="G12" s="14">
        <f>G8+G11/4.33</f>
        <v/>
      </c>
      <c r="H12" s="14">
        <f>H8+H11/4.33</f>
        <v/>
      </c>
      <c r="I12" s="14">
        <f>I8+I11/4.33</f>
        <v/>
      </c>
      <c r="J12" s="14">
        <f>J8+J11/4.33</f>
        <v/>
      </c>
      <c r="K12" s="14">
        <f>K8+K11/4.33</f>
        <v/>
      </c>
      <c r="L12" s="14">
        <f>L8+L11/4.33</f>
        <v/>
      </c>
      <c r="M12" s="14">
        <f>M8+M11/4.33</f>
        <v/>
      </c>
    </row>
    <row r="13">
      <c r="A13" s="12" t="inlineStr">
        <is>
          <t>Weekly expenses</t>
        </is>
      </c>
      <c r="B13" s="14">
        <f>Assumptions!$B$24/4.33</f>
        <v/>
      </c>
      <c r="C13" s="14">
        <f>Assumptions!$B$24/4.33</f>
        <v/>
      </c>
      <c r="D13" s="14">
        <f>Assumptions!$B$24/4.33</f>
        <v/>
      </c>
      <c r="E13" s="14">
        <f>Assumptions!$B$24/4.33</f>
        <v/>
      </c>
      <c r="F13" s="14">
        <f>Assumptions!$B$24/4.33</f>
        <v/>
      </c>
      <c r="G13" s="14">
        <f>Assumptions!$B$24/4.33</f>
        <v/>
      </c>
      <c r="H13" s="14">
        <f>Assumptions!$B$24/4.33</f>
        <v/>
      </c>
      <c r="I13" s="14">
        <f>Assumptions!$B$24/4.33</f>
        <v/>
      </c>
      <c r="J13" s="14">
        <f>Assumptions!$B$24/4.33</f>
        <v/>
      </c>
      <c r="K13" s="14">
        <f>Assumptions!$B$24/4.33</f>
        <v/>
      </c>
      <c r="L13" s="14">
        <f>Assumptions!$B$24/4.33</f>
        <v/>
      </c>
      <c r="M13" s="14">
        <f>Assumptions!$B$24/4.33</f>
        <v/>
      </c>
    </row>
    <row r="14">
      <c r="A14" s="12" t="inlineStr">
        <is>
          <t>Weekly profit</t>
        </is>
      </c>
      <c r="B14" s="14">
        <f>B12-B13</f>
        <v/>
      </c>
      <c r="C14" s="14">
        <f>C12-C13</f>
        <v/>
      </c>
      <c r="D14" s="14">
        <f>D12-D13</f>
        <v/>
      </c>
      <c r="E14" s="14">
        <f>E12-E13</f>
        <v/>
      </c>
      <c r="F14" s="14">
        <f>F12-F13</f>
        <v/>
      </c>
      <c r="G14" s="14">
        <f>G12-G13</f>
        <v/>
      </c>
      <c r="H14" s="14">
        <f>H12-H13</f>
        <v/>
      </c>
      <c r="I14" s="14">
        <f>I12-I13</f>
        <v/>
      </c>
      <c r="J14" s="14">
        <f>J12-J13</f>
        <v/>
      </c>
      <c r="K14" s="14">
        <f>K12-K13</f>
        <v/>
      </c>
      <c r="L14" s="14">
        <f>L12-L13</f>
        <v/>
      </c>
      <c r="M14" s="14">
        <f>M12-M13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90-DAY SCENARIO ANALYSIS</t>
        </is>
      </c>
    </row>
    <row r="2">
      <c r="A2" s="6" t="inlineStr"/>
      <c r="B2" s="11" t="inlineStr">
        <is>
          <t>Conservative</t>
        </is>
      </c>
      <c r="C2" s="11" t="inlineStr">
        <is>
          <t>Realistic</t>
        </is>
      </c>
      <c r="D2" s="11" t="inlineStr">
        <is>
          <t>Optimistic</t>
        </is>
      </c>
    </row>
    <row r="3">
      <c r="A3" t="inlineStr">
        <is>
          <t>Reply Rate</t>
        </is>
      </c>
      <c r="B3" s="15" t="inlineStr">
        <is>
          <t>5%</t>
        </is>
      </c>
      <c r="C3" s="15" t="inlineStr">
        <is>
          <t>10%</t>
        </is>
      </c>
      <c r="D3" s="15" t="inlineStr">
        <is>
          <t>15%</t>
        </is>
      </c>
    </row>
    <row r="4">
      <c r="A4" t="inlineStr">
        <is>
          <t>Close Rate</t>
        </is>
      </c>
      <c r="B4" s="15" t="inlineStr">
        <is>
          <t>20%</t>
        </is>
      </c>
      <c r="C4" s="15" t="inlineStr">
        <is>
          <t>20%</t>
        </is>
      </c>
      <c r="D4" s="15" t="inlineStr">
        <is>
          <t>20%</t>
        </is>
      </c>
    </row>
    <row r="6">
      <c r="A6" s="6" t="inlineStr">
        <is>
          <t>MONTH 1 RESULTS</t>
        </is>
      </c>
    </row>
    <row r="7">
      <c r="A7" t="inlineStr">
        <is>
          <t>Total clients acquired</t>
        </is>
      </c>
    </row>
    <row r="8">
      <c r="A8" t="inlineStr">
        <is>
          <t>Total setup revenue</t>
        </is>
      </c>
    </row>
    <row r="9">
      <c r="A9" t="inlineStr">
        <is>
          <t>Ending MRR</t>
        </is>
      </c>
      <c r="B9" t="n">
        <v>2</v>
      </c>
      <c r="C9" t="n">
        <v>2</v>
      </c>
      <c r="D9" t="n">
        <v>3</v>
      </c>
    </row>
    <row r="10">
      <c r="A10" t="inlineStr">
        <is>
          <t>Total revenue</t>
        </is>
      </c>
      <c r="B10" s="14">
        <f>B9*(Assumptions!$B$5*Assumptions!$B$13+Assumptions!$B$7*Assumptions!$B$14+Assumptions!$B$9*Assumptions!$B$15)</f>
        <v/>
      </c>
      <c r="C10" s="14">
        <f>C9*(Assumptions!$B$5*Assumptions!$B$13+Assumptions!$B$7*Assumptions!$B$14+Assumptions!$B$9*Assumptions!$B$15)</f>
        <v/>
      </c>
      <c r="D10" s="14">
        <f>D9*(Assumptions!$B$5*Assumptions!$B$13+Assumptions!$B$7*Assumptions!$B$14+Assumptions!$B$9*Assumptions!$B$15)</f>
        <v/>
      </c>
    </row>
    <row r="11">
      <c r="A11" t="inlineStr">
        <is>
          <t>Total expenses</t>
        </is>
      </c>
      <c r="B11" s="14">
        <f>B9*(Assumptions!$B$6*Assumptions!$B$13+Assumptions!$B$8*Assumptions!$B$14+Assumptions!$B$10*Assumptions!$B$15)</f>
        <v/>
      </c>
      <c r="C11" s="14">
        <f>C9*(Assumptions!$B$6*Assumptions!$B$13+Assumptions!$B$8*Assumptions!$B$14+Assumptions!$B$10*Assumptions!$B$15)</f>
        <v/>
      </c>
      <c r="D11" s="14">
        <f>D9*(Assumptions!$B$6*Assumptions!$B$13+Assumptions!$B$8*Assumptions!$B$14+Assumptions!$B$10*Assumptions!$B$15)</f>
        <v/>
      </c>
    </row>
    <row r="12">
      <c r="A12" t="inlineStr">
        <is>
          <t>Net profit</t>
        </is>
      </c>
      <c r="B12" s="14">
        <f>B11</f>
        <v/>
      </c>
      <c r="C12" s="14">
        <f>C11</f>
        <v/>
      </c>
      <c r="D12" s="14">
        <f>D11</f>
        <v/>
      </c>
    </row>
    <row r="13">
      <c r="B13" s="14">
        <f>B10+B11</f>
        <v/>
      </c>
      <c r="C13" s="14">
        <f>C10+C11</f>
        <v/>
      </c>
      <c r="D13" s="14">
        <f>D10+D11</f>
        <v/>
      </c>
    </row>
    <row r="14">
      <c r="A14" s="6" t="inlineStr">
        <is>
          <t>MONTH 2</t>
        </is>
      </c>
      <c r="B14" s="14">
        <f>Assumptions!$B$24</f>
        <v/>
      </c>
      <c r="C14" s="14">
        <f>Assumptions!$B$24</f>
        <v/>
      </c>
      <c r="D14" s="14">
        <f>Assumptions!$B$24</f>
        <v/>
      </c>
    </row>
    <row r="15">
      <c r="A15" t="inlineStr">
        <is>
          <t>Total clients acquired</t>
        </is>
      </c>
      <c r="B15" s="14" t="n">
        <v>4</v>
      </c>
      <c r="C15" s="14" t="n">
        <v>4</v>
      </c>
      <c r="D15" s="14" t="n">
        <v>6</v>
      </c>
    </row>
    <row r="16">
      <c r="A16" t="inlineStr">
        <is>
          <t>Total setup revenue</t>
        </is>
      </c>
      <c r="B16" s="14">
        <f>B15*(Assumptions!$B$5*Assumptions!$B$13+Assumptions!$B$7*Assumptions!$B$14+Assumptions!$B$9*Assumptions!$B$15)</f>
        <v/>
      </c>
      <c r="C16" s="14">
        <f>C15*(Assumptions!$B$5*Assumptions!$B$13+Assumptions!$B$7*Assumptions!$B$14+Assumptions!$B$9*Assumptions!$B$15)</f>
        <v/>
      </c>
      <c r="D16" s="14">
        <f>D15*(Assumptions!$B$5*Assumptions!$B$13+Assumptions!$B$7*Assumptions!$B$14+Assumptions!$B$9*Assumptions!$B$15)</f>
        <v/>
      </c>
    </row>
    <row r="17">
      <c r="A17" t="inlineStr">
        <is>
          <t>Ending MRR</t>
        </is>
      </c>
      <c r="B17" s="14">
        <f>B15*(Assumptions!$B$6*Assumptions!$B$13+Assumptions!$B$8*Assumptions!$B$14+Assumptions!$B$10*Assumptions!$B$15)</f>
        <v/>
      </c>
      <c r="C17" s="14">
        <f>C15*(Assumptions!$B$6*Assumptions!$B$13+Assumptions!$B$8*Assumptions!$B$14+Assumptions!$B$10*Assumptions!$B$15)</f>
        <v/>
      </c>
      <c r="D17" s="14">
        <f>D15*(Assumptions!$B$6*Assumptions!$B$13+Assumptions!$B$8*Assumptions!$B$14+Assumptions!$B$10*Assumptions!$B$15)</f>
        <v/>
      </c>
    </row>
    <row r="18">
      <c r="A18" t="inlineStr">
        <is>
          <t>Total revenue</t>
        </is>
      </c>
      <c r="B18" s="14">
        <f>B17</f>
        <v/>
      </c>
      <c r="C18" s="14">
        <f>C17</f>
        <v/>
      </c>
      <c r="D18" s="14">
        <f>D17</f>
        <v/>
      </c>
    </row>
    <row r="19">
      <c r="A19" t="inlineStr">
        <is>
          <t>Total expenses</t>
        </is>
      </c>
      <c r="B19" s="14">
        <f>B16+B17</f>
        <v/>
      </c>
      <c r="C19" s="14">
        <f>C16+C17</f>
        <v/>
      </c>
      <c r="D19" s="14">
        <f>D16+D17</f>
        <v/>
      </c>
    </row>
    <row r="20">
      <c r="A20" t="inlineStr">
        <is>
          <t>Net profit</t>
        </is>
      </c>
      <c r="B20" s="14">
        <f>Assumptions!$B$24</f>
        <v/>
      </c>
      <c r="C20" s="14">
        <f>Assumptions!$B$24</f>
        <v/>
      </c>
      <c r="D20" s="14">
        <f>Assumptions!$B$24</f>
        <v/>
      </c>
    </row>
    <row r="21">
      <c r="B21" s="14">
        <f>B19-B20</f>
        <v/>
      </c>
      <c r="C21" s="14">
        <f>C19-C20</f>
        <v/>
      </c>
      <c r="D21" s="14">
        <f>D19-D20</f>
        <v/>
      </c>
    </row>
    <row r="22">
      <c r="A22" s="6" t="inlineStr">
        <is>
          <t>MONTH 3</t>
        </is>
      </c>
    </row>
    <row r="23">
      <c r="A23" t="inlineStr">
        <is>
          <t>Total clients acquired</t>
        </is>
      </c>
      <c r="B23" t="n">
        <v>6</v>
      </c>
      <c r="C23" t="n">
        <v>6</v>
      </c>
      <c r="D23" t="n">
        <v>9</v>
      </c>
    </row>
    <row r="24">
      <c r="A24" t="inlineStr">
        <is>
          <t>Total setup revenue</t>
        </is>
      </c>
      <c r="B24" s="14">
        <f>B23*(Assumptions!$B$5*Assumptions!$B$13+Assumptions!$B$7*Assumptions!$B$14+Assumptions!$B$9*Assumptions!$B$15)</f>
        <v/>
      </c>
      <c r="C24" s="14">
        <f>C23*(Assumptions!$B$5*Assumptions!$B$13+Assumptions!$B$7*Assumptions!$B$14+Assumptions!$B$9*Assumptions!$B$15)</f>
        <v/>
      </c>
      <c r="D24" s="14">
        <f>D23*(Assumptions!$B$5*Assumptions!$B$13+Assumptions!$B$7*Assumptions!$B$14+Assumptions!$B$9*Assumptions!$B$15)</f>
        <v/>
      </c>
    </row>
    <row r="25">
      <c r="A25" t="inlineStr">
        <is>
          <t>Ending MRR</t>
        </is>
      </c>
      <c r="B25" s="14">
        <f>B23*(Assumptions!$B$6*Assumptions!$B$13+Assumptions!$B$8*Assumptions!$B$14+Assumptions!$B$10*Assumptions!$B$15)</f>
        <v/>
      </c>
      <c r="C25" s="14">
        <f>C23*(Assumptions!$B$6*Assumptions!$B$13+Assumptions!$B$8*Assumptions!$B$14+Assumptions!$B$10*Assumptions!$B$15)</f>
        <v/>
      </c>
      <c r="D25" s="14">
        <f>D23*(Assumptions!$B$6*Assumptions!$B$13+Assumptions!$B$8*Assumptions!$B$14+Assumptions!$B$10*Assumptions!$B$15)</f>
        <v/>
      </c>
    </row>
    <row r="26">
      <c r="A26" t="inlineStr">
        <is>
          <t>Total revenue</t>
        </is>
      </c>
      <c r="B26" s="14">
        <f>B25</f>
        <v/>
      </c>
      <c r="C26" s="14">
        <f>C25</f>
        <v/>
      </c>
      <c r="D26" s="14">
        <f>D25</f>
        <v/>
      </c>
    </row>
    <row r="27">
      <c r="A27" t="inlineStr">
        <is>
          <t>Total expenses</t>
        </is>
      </c>
      <c r="B27" s="14">
        <f>B24+B25</f>
        <v/>
      </c>
      <c r="C27" s="14">
        <f>C24+C25</f>
        <v/>
      </c>
      <c r="D27" s="14">
        <f>D24+D25</f>
        <v/>
      </c>
    </row>
    <row r="28">
      <c r="A28" t="inlineStr">
        <is>
          <t>Net profit</t>
        </is>
      </c>
      <c r="B28" s="14">
        <f>Assumptions!$B$24</f>
        <v/>
      </c>
      <c r="C28" s="14">
        <f>Assumptions!$B$24</f>
        <v/>
      </c>
      <c r="D28" s="14">
        <f>Assumptions!$B$24</f>
        <v/>
      </c>
    </row>
    <row r="29">
      <c r="B29" s="14">
        <f>B27-B28</f>
        <v/>
      </c>
      <c r="C29" s="14">
        <f>C27-C28</f>
        <v/>
      </c>
      <c r="D29" s="14">
        <f>D27-D28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MONTHLY P&amp;L STATEMENT</t>
        </is>
      </c>
    </row>
    <row r="2">
      <c r="A2" s="6" t="inlineStr"/>
      <c r="B2" s="11" t="inlineStr">
        <is>
          <t>Month 1</t>
        </is>
      </c>
      <c r="C2" s="11" t="inlineStr">
        <is>
          <t>Month 2</t>
        </is>
      </c>
      <c r="D2" s="11" t="inlineStr">
        <is>
          <t>Month 3</t>
        </is>
      </c>
    </row>
    <row r="3">
      <c r="A3" s="16" t="inlineStr">
        <is>
          <t>REVENUE</t>
        </is>
      </c>
    </row>
    <row r="4">
      <c r="A4" t="inlineStr">
        <is>
          <t>Setup Fees</t>
        </is>
      </c>
    </row>
    <row r="5">
      <c r="A5" t="inlineStr">
        <is>
          <t>Monthly Recurring Revenue</t>
        </is>
      </c>
      <c r="B5" s="14">
        <f>2*(Assumptions!$B$5*Assumptions!$B$13+Assumptions!$B$7*Assumptions!$B$14+Assumptions!$B$9*Assumptions!$B$15)</f>
        <v/>
      </c>
      <c r="C5" s="14">
        <f>4*(Assumptions!$B$5*Assumptions!$B$13+Assumptions!$B$7*Assumptions!$B$14+Assumptions!$B$9*Assumptions!$B$15)</f>
        <v/>
      </c>
      <c r="D5" s="14">
        <f>6*(Assumptions!$B$5*Assumptions!$B$13+Assumptions!$B$7*Assumptions!$B$14+Assumptions!$B$9*Assumptions!$B$15)</f>
        <v/>
      </c>
    </row>
    <row r="6">
      <c r="A6" t="inlineStr">
        <is>
          <t>Add-on Revenue (domains, email)</t>
        </is>
      </c>
      <c r="B6" s="14">
        <f>'Week-by-Week'!E8</f>
        <v/>
      </c>
      <c r="C6" s="14">
        <f>'Week-by-Week'!I8</f>
        <v/>
      </c>
      <c r="D6" s="14">
        <f>'Week-by-Week'!M8</f>
        <v/>
      </c>
    </row>
    <row r="7">
      <c r="B7" s="14" t="n">
        <v>0</v>
      </c>
      <c r="C7" s="14">
        <f>B7*1.5</f>
        <v/>
      </c>
      <c r="D7" s="14">
        <f>C7*1.5</f>
        <v/>
      </c>
    </row>
    <row r="8">
      <c r="A8" s="17" t="inlineStr">
        <is>
          <t>Total Revenue</t>
        </is>
      </c>
      <c r="B8" s="14">
        <f>SUM(B5:B7)</f>
        <v/>
      </c>
      <c r="C8" s="14">
        <f>SUM(C5:C7)</f>
        <v/>
      </c>
      <c r="D8" s="14">
        <f>SUM(D5:D7)</f>
        <v/>
      </c>
    </row>
    <row r="10">
      <c r="A10" s="16" t="inlineStr">
        <is>
          <t>EXPENSES</t>
        </is>
      </c>
    </row>
    <row r="11">
      <c r="A11" t="inlineStr">
        <is>
          <t>Claude Max</t>
        </is>
      </c>
      <c r="B11" s="14" t="n">
        <v>200</v>
      </c>
      <c r="C11" s="14" t="n">
        <v>200</v>
      </c>
      <c r="D11" s="14" t="n">
        <v>200</v>
      </c>
    </row>
    <row r="12">
      <c r="A12" t="inlineStr">
        <is>
          <t>Lovable</t>
        </is>
      </c>
      <c r="B12" s="14" t="n">
        <v>50</v>
      </c>
      <c r="C12" s="14" t="n">
        <v>50</v>
      </c>
      <c r="D12" s="14" t="n">
        <v>50</v>
      </c>
    </row>
    <row r="13">
      <c r="A13" t="inlineStr">
        <is>
          <t>Instantly.ai</t>
        </is>
      </c>
      <c r="B13" s="14" t="n">
        <v>37</v>
      </c>
      <c r="C13" s="14" t="n">
        <v>37</v>
      </c>
      <c r="D13" s="14" t="n">
        <v>37</v>
      </c>
    </row>
    <row r="14">
      <c r="A14" t="inlineStr">
        <is>
          <t>Google Workspace</t>
        </is>
      </c>
      <c r="B14" s="14" t="n">
        <v>14</v>
      </c>
      <c r="C14" s="14" t="n">
        <v>14</v>
      </c>
      <c r="D14" s="14" t="n">
        <v>14</v>
      </c>
    </row>
    <row r="15">
      <c r="A15" t="inlineStr">
        <is>
          <t>Outscraper</t>
        </is>
      </c>
      <c r="B15" s="14" t="n">
        <v>10</v>
      </c>
      <c r="C15" s="14" t="n">
        <v>10</v>
      </c>
      <c r="D15" s="14" t="n">
        <v>10</v>
      </c>
    </row>
    <row r="16">
      <c r="A16" t="inlineStr">
        <is>
          <t>Domains</t>
        </is>
      </c>
      <c r="B16" s="14" t="n">
        <v>3</v>
      </c>
      <c r="C16" s="14" t="n">
        <v>3</v>
      </c>
      <c r="D16" s="14" t="n">
        <v>3</v>
      </c>
    </row>
    <row r="18">
      <c r="A18" s="16" t="inlineStr">
        <is>
          <t>Total Expenses</t>
        </is>
      </c>
      <c r="B18" s="14">
        <f>SUM(B11:B16)</f>
        <v/>
      </c>
      <c r="C18" s="14">
        <f>SUM(C11:C16)</f>
        <v/>
      </c>
      <c r="D18" s="14">
        <f>SUM(D11:D16)</f>
        <v/>
      </c>
    </row>
    <row r="20">
      <c r="A20" s="17" t="inlineStr">
        <is>
          <t>GROSS PROFIT</t>
        </is>
      </c>
      <c r="B20" s="14">
        <f>B8-B17</f>
        <v/>
      </c>
      <c r="C20" s="14">
        <f>C8-C17</f>
        <v/>
      </c>
      <c r="D20" s="14">
        <f>D8-D17</f>
        <v/>
      </c>
    </row>
    <row r="21">
      <c r="A21" s="6" t="inlineStr">
        <is>
          <t>Profit Margin %</t>
        </is>
      </c>
      <c r="B21" s="15">
        <f>IF(B8=0,0,B19/B8)</f>
        <v/>
      </c>
      <c r="C21" s="15">
        <f>IF(C8=0,0,C19/C8)</f>
        <v/>
      </c>
      <c r="D21" s="15">
        <f>IF(D8=0,0,D19/D8)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</cols>
  <sheetData>
    <row r="1">
      <c r="A1" s="1" t="inlineStr">
        <is>
          <t>REVENUE MILESTONES</t>
        </is>
      </c>
    </row>
    <row r="2">
      <c r="A2" s="11" t="inlineStr">
        <is>
          <t>Milestone</t>
        </is>
      </c>
      <c r="B2" s="11" t="inlineStr">
        <is>
          <t>Clients Needed</t>
        </is>
      </c>
      <c r="C2" s="11" t="inlineStr">
        <is>
          <t>Estimated Timeline</t>
        </is>
      </c>
    </row>
    <row r="3">
      <c r="A3" t="inlineStr">
        <is>
          <t>First client</t>
        </is>
      </c>
      <c r="B3" s="13" t="n">
        <v>1</v>
      </c>
      <c r="C3" t="inlineStr">
        <is>
          <t>Week 3-4</t>
        </is>
      </c>
    </row>
    <row r="4">
      <c r="A4" t="inlineStr">
        <is>
          <t>Break even ($324/mo)</t>
        </is>
      </c>
      <c r="B4" s="13">
        <f>ROUND(324/(Assumptions!$B$6*Assumptions!$B$13+Assumptions!$B$8*Assumptions!$B$14+Assumptions!$B$10*Assumptions!$B$15),1)</f>
        <v/>
      </c>
      <c r="C4" t="inlineStr">
        <is>
          <t>Month 1</t>
        </is>
      </c>
    </row>
    <row r="5">
      <c r="A5" t="inlineStr">
        <is>
          <t>$1,000 MRR</t>
        </is>
      </c>
      <c r="B5" s="13">
        <f>ROUND(1000/(Assumptions!$B$6*Assumptions!$B$13+Assumptions!$B$8*Assumptions!$B$14+Assumptions!$B$10*Assumptions!$B$15),0)</f>
        <v/>
      </c>
      <c r="C5" t="inlineStr">
        <is>
          <t>Month 2-3</t>
        </is>
      </c>
    </row>
    <row r="6">
      <c r="A6" t="inlineStr">
        <is>
          <t>$2,500 MRR</t>
        </is>
      </c>
      <c r="B6" s="13">
        <f>ROUND(2500/(Assumptions!$B$6*Assumptions!$B$13+Assumptions!$B$8*Assumptions!$B$14+Assumptions!$B$10*Assumptions!$B$15),0)</f>
        <v/>
      </c>
      <c r="C6" t="inlineStr">
        <is>
          <t>Month 3+</t>
        </is>
      </c>
    </row>
    <row r="7">
      <c r="A7" t="inlineStr">
        <is>
          <t>$5,000 MRR</t>
        </is>
      </c>
      <c r="B7" s="13">
        <f>ROUND(5000/(Assumptions!$B$6*Assumptions!$B$13+Assumptions!$B$8*Assumptions!$B$14+Assumptions!$B$10*Assumptions!$B$15),0)</f>
        <v/>
      </c>
      <c r="C7" t="inlineStr">
        <is>
          <t>Month 5-6</t>
        </is>
      </c>
    </row>
    <row r="8">
      <c r="A8" t="inlineStr">
        <is>
          <t>$10,000 MRR</t>
        </is>
      </c>
      <c r="B8" s="13">
        <f>ROUND(10000/(Assumptions!$B$6*Assumptions!$B$13+Assumptions!$B$8*Assumptions!$B$14+Assumptions!$B$10*Assumptions!$B$15),0)</f>
        <v/>
      </c>
      <c r="C8" t="inlineStr">
        <is>
          <t>Month 8-9</t>
        </is>
      </c>
    </row>
    <row r="10">
      <c r="A10" s="6" t="inlineStr">
        <is>
          <t>NOTES</t>
        </is>
      </c>
    </row>
    <row r="11">
      <c r="A11" t="inlineStr">
        <is>
          <t>Weighted avg MRR per client</t>
        </is>
      </c>
      <c r="B11" s="14">
        <f>Assumptions!$B$6*Assumptions!$B$13+Assumptions!$B$8*Assumptions!$B$14+Assumptions!$B$10*Assumptions!$B$15</f>
        <v/>
      </c>
    </row>
    <row r="12">
      <c r="A12" t="inlineStr">
        <is>
          <t>Break-even clients (monthly)</t>
        </is>
      </c>
      <c r="B12">
        <f>ROUND(Assumptions!$B$24/B11,1)</f>
        <v/>
      </c>
    </row>
    <row r="13">
      <c r="A13" t="inlineStr">
        <is>
          <t>All revenue at 10% reply rate assumes email marketing is working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2026-03-25T08:14:01Z</dcterms:created>
  <dcterms:modified xmlns:dcterms="http://purl.org/dc/terms/" xmlns:xsi="http://www.w3.org/2001/XMLSchema-instance" xsi:type="dcterms:W3CDTF">2026-03-25T08:14:03Z</dcterms:modified>
</cp:coreProperties>
</file>