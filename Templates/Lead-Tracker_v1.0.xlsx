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 Pipeline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Weekly Tracker" sheetId="3" state="visible" r:id="rId3"/>
    <sheet xmlns:r="http://schemas.openxmlformats.org/officeDocument/2006/relationships" name="Settings" sheetId="4" state="visible" r:id="rId4"/>
  </sheets>
  <definedNames>
    <definedName name="_xlnm._FilterDatabase" localSheetId="0" hidden="1">'Lead Pipeline'!$A$1:$T$101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0.0"/>
    <numFmt numFmtId="165" formatCode="YYYY-MM-DD"/>
    <numFmt numFmtId="166" formatCode="0.0%"/>
    <numFmt numFmtId="167" formatCode="$#,##0"/>
  </numFmts>
  <fonts count="1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000000"/>
      <sz val="10"/>
    </font>
    <font>
      <name val="Arial"/>
      <b val="1"/>
      <color rgb="00FFFFFF"/>
      <sz val="16"/>
    </font>
    <font>
      <name val="Arial"/>
      <b val="1"/>
      <color rgb="001F4E78"/>
      <sz val="12"/>
    </font>
    <font>
      <name val="Arial"/>
      <b val="1"/>
      <sz val="11"/>
    </font>
    <font>
      <name val="Arial"/>
      <b val="1"/>
      <color rgb="000070C0"/>
      <sz val="11"/>
    </font>
    <font>
      <name val="Arial"/>
      <sz val="10"/>
    </font>
    <font>
      <name val="Arial"/>
      <color rgb="000070C0"/>
      <sz val="10"/>
    </font>
    <font>
      <name val="Arial"/>
      <b val="1"/>
      <color rgb="00FFFFFF"/>
      <sz val="14"/>
    </font>
    <font>
      <name val="Arial"/>
      <b val="1"/>
      <color rgb="00FFFFFF"/>
      <sz val="10"/>
    </font>
    <font>
      <name val="Arial"/>
      <b val="1"/>
      <color rgb="000070C0"/>
      <sz val="10"/>
    </font>
    <font>
      <name val="Arial"/>
      <sz val="9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164" fontId="2" fillId="0" borderId="1" applyAlignment="1" pivotButton="0" quotePrefix="0" xfId="0">
      <alignment horizontal="center" vertical="center"/>
    </xf>
    <xf numFmtId="1" fontId="2" fillId="0" borderId="1" applyAlignment="1" pivotButton="0" quotePrefix="0" xfId="0">
      <alignment horizontal="center" vertical="center"/>
    </xf>
    <xf numFmtId="165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1" pivotButton="0" quotePrefix="0" xfId="0"/>
    <xf numFmtId="0" fontId="6" fillId="0" borderId="1" applyAlignment="1" pivotButton="0" quotePrefix="0" xfId="0">
      <alignment horizontal="center" vertical="center"/>
    </xf>
    <xf numFmtId="166" fontId="6" fillId="0" borderId="1" applyAlignment="1" pivotButton="0" quotePrefix="0" xfId="0">
      <alignment horizontal="center" vertical="center"/>
    </xf>
    <xf numFmtId="167" fontId="6" fillId="0" borderId="1" applyAlignment="1" pivotButton="0" quotePrefix="0" xfId="0">
      <alignment horizontal="center" vertical="center"/>
    </xf>
    <xf numFmtId="0" fontId="7" fillId="0" borderId="1" pivotButton="0" quotePrefix="0" xfId="0"/>
    <xf numFmtId="0" fontId="7" fillId="0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165" fontId="7" fillId="0" borderId="1" applyAlignment="1" pivotButton="0" quotePrefix="0" xfId="0">
      <alignment horizontal="center" vertical="center"/>
    </xf>
    <xf numFmtId="1" fontId="7" fillId="0" borderId="1" applyAlignment="1" pivotButton="0" quotePrefix="0" xfId="0">
      <alignment horizontal="center" vertical="center"/>
    </xf>
    <xf numFmtId="166" fontId="8" fillId="0" borderId="1" applyAlignment="1" pivotButton="0" quotePrefix="0" xfId="0">
      <alignment horizontal="center" vertical="center"/>
    </xf>
    <xf numFmtId="167" fontId="7" fillId="0" borderId="1" applyAlignment="1" pivotButton="0" quotePrefix="0" xfId="0">
      <alignment horizontal="right" vertical="center"/>
    </xf>
    <xf numFmtId="167" fontId="8" fillId="0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left" vertical="center"/>
    </xf>
    <xf numFmtId="0" fontId="9" fillId="2" borderId="0" pivotButton="0" quotePrefix="0" xfId="0"/>
    <xf numFmtId="0" fontId="10" fillId="2" borderId="1" applyAlignment="1" pivotButton="0" quotePrefix="0" xfId="0">
      <alignment horizontal="center" vertical="center"/>
    </xf>
    <xf numFmtId="167" fontId="11" fillId="0" borderId="1" applyAlignment="1" pivotButton="0" quotePrefix="0" xfId="0">
      <alignment horizontal="center" vertical="center"/>
    </xf>
    <xf numFmtId="0" fontId="12" fillId="4" borderId="1" pivotButton="0" quotePrefix="0" xfId="0"/>
    <xf numFmtId="0" fontId="12" fillId="3" borderId="1" pivotButton="0" quotePrefix="0" xfId="0"/>
    <xf numFmtId="0" fontId="12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14" customWidth="1" min="4" max="4"/>
    <col width="22" customWidth="1" min="5" max="5"/>
    <col width="20" customWidth="1" min="6" max="6"/>
    <col width="12" customWidth="1" min="7" max="7"/>
    <col width="8" customWidth="1" min="8" max="8"/>
    <col width="8" customWidth="1" min="9" max="9"/>
    <col width="16" customWidth="1" min="10" max="10"/>
    <col width="14" customWidth="1" min="11" max="11"/>
    <col width="12" customWidth="1" min="12" max="12"/>
    <col width="12" customWidth="1" min="13" max="13"/>
    <col width="14" customWidth="1" min="14" max="14"/>
    <col width="13" customWidth="1" min="15" max="15"/>
    <col width="25" customWidth="1" min="16" max="16"/>
    <col width="14" customWidth="1" min="17" max="17"/>
    <col width="18" customWidth="1" min="18" max="18"/>
    <col width="16" customWidth="1" min="19" max="19"/>
    <col width="20" customWidth="1" min="20" max="20"/>
  </cols>
  <sheetData>
    <row r="1">
      <c r="A1" s="1" t="inlineStr">
        <is>
          <t>Lead ID</t>
        </is>
      </c>
      <c r="B1" s="1" t="inlineStr">
        <is>
          <t>Business Name</t>
        </is>
      </c>
      <c r="C1" s="1" t="inlineStr">
        <is>
          <t>Owner/Contact Name</t>
        </is>
      </c>
      <c r="D1" s="1" t="inlineStr">
        <is>
          <t>Phone</t>
        </is>
      </c>
      <c r="E1" s="1" t="inlineStr">
        <is>
          <t>Email</t>
        </is>
      </c>
      <c r="F1" s="1" t="inlineStr">
        <is>
          <t>Address</t>
        </is>
      </c>
      <c r="G1" s="1" t="inlineStr">
        <is>
          <t>City</t>
        </is>
      </c>
      <c r="H1" s="1" t="inlineStr">
        <is>
          <t>State</t>
        </is>
      </c>
      <c r="I1" s="1" t="inlineStr">
        <is>
          <t>ZIP</t>
        </is>
      </c>
      <c r="J1" s="1" t="inlineStr">
        <is>
          <t>Niche</t>
        </is>
      </c>
      <c r="K1" s="1" t="inlineStr">
        <is>
          <t>Website Status</t>
        </is>
      </c>
      <c r="L1" s="1" t="inlineStr">
        <is>
          <t>Google Rating</t>
        </is>
      </c>
      <c r="M1" s="1" t="inlineStr">
        <is>
          <t>Review Count</t>
        </is>
      </c>
      <c r="N1" s="1" t="inlineStr">
        <is>
          <t>Lead Source</t>
        </is>
      </c>
      <c r="O1" s="1" t="inlineStr">
        <is>
          <t>Date Added</t>
        </is>
      </c>
      <c r="P1" s="1" t="inlineStr">
        <is>
          <t>Demo Site URL</t>
        </is>
      </c>
      <c r="Q1" s="1" t="inlineStr">
        <is>
          <t>Demo Site Built?</t>
        </is>
      </c>
      <c r="R1" s="1" t="inlineStr">
        <is>
          <t>Outreach Status</t>
        </is>
      </c>
      <c r="S1" s="1" t="inlineStr">
        <is>
          <t>Last Contact Date</t>
        </is>
      </c>
      <c r="T1" s="1" t="inlineStr">
        <is>
          <t>Notes</t>
        </is>
      </c>
    </row>
    <row r="2">
      <c r="A2" s="2" t="n">
        <v>101</v>
      </c>
      <c r="B2" s="2" t="inlineStr">
        <is>
          <t>Green Thumb Landscaping</t>
        </is>
      </c>
      <c r="C2" s="2" t="inlineStr">
        <is>
          <t>Mike Johnson</t>
        </is>
      </c>
      <c r="D2" s="2" t="inlineStr">
        <is>
          <t>555-0121</t>
        </is>
      </c>
      <c r="E2" s="2" t="inlineStr">
        <is>
          <t>mike@greenthumb.local</t>
        </is>
      </c>
      <c r="F2" s="2" t="inlineStr">
        <is>
          <t>123 Oak St</t>
        </is>
      </c>
      <c r="G2" s="2" t="inlineStr">
        <is>
          <t>Denver</t>
        </is>
      </c>
      <c r="H2" s="2" t="inlineStr">
        <is>
          <t>CO</t>
        </is>
      </c>
      <c r="I2" s="2" t="inlineStr">
        <is>
          <t>80202</t>
        </is>
      </c>
      <c r="J2" s="2" t="inlineStr">
        <is>
          <t>Home Services</t>
        </is>
      </c>
      <c r="K2" s="2" t="inlineStr">
        <is>
          <t>No Website</t>
        </is>
      </c>
      <c r="L2" s="3" t="n">
        <v>4.8</v>
      </c>
      <c r="M2" s="4" t="n">
        <v>42</v>
      </c>
      <c r="N2" s="2" t="inlineStr">
        <is>
          <t>Outscraper</t>
        </is>
      </c>
      <c r="O2" s="5" t="inlineStr">
        <is>
          <t>2026-03-20</t>
        </is>
      </c>
      <c r="P2" s="2" t="inlineStr">
        <is>
          <t>https://demo-1.com</t>
        </is>
      </c>
      <c r="Q2" s="2" t="inlineStr">
        <is>
          <t>Y</t>
        </is>
      </c>
      <c r="R2" s="2" t="inlineStr">
        <is>
          <t>Email 1 Sent</t>
        </is>
      </c>
      <c r="S2" s="5" t="inlineStr">
        <is>
          <t>2026-03-21</t>
        </is>
      </c>
      <c r="T2" s="2" t="inlineStr">
        <is>
          <t>High-quality leads, responsive owner</t>
        </is>
      </c>
    </row>
    <row r="3">
      <c r="A3" s="2" t="n">
        <v>102</v>
      </c>
      <c r="B3" s="2" t="inlineStr">
        <is>
          <t>Bright Smile Dental</t>
        </is>
      </c>
      <c r="C3" s="2" t="inlineStr">
        <is>
          <t>Dr. Sarah Chen</t>
        </is>
      </c>
      <c r="D3" s="2" t="inlineStr">
        <is>
          <t>555-0122</t>
        </is>
      </c>
      <c r="E3" s="2" t="inlineStr">
        <is>
          <t>info@brightsmile.local</t>
        </is>
      </c>
      <c r="F3" s="2" t="inlineStr">
        <is>
          <t>456 Main Ave</t>
        </is>
      </c>
      <c r="G3" s="2" t="inlineStr">
        <is>
          <t>Boulder</t>
        </is>
      </c>
      <c r="H3" s="2" t="inlineStr">
        <is>
          <t>CO</t>
        </is>
      </c>
      <c r="I3" s="2" t="inlineStr">
        <is>
          <t>80301</t>
        </is>
      </c>
      <c r="J3" s="2" t="inlineStr">
        <is>
          <t>Health &amp; Wellness</t>
        </is>
      </c>
      <c r="K3" s="2" t="inlineStr">
        <is>
          <t>Bad Website</t>
        </is>
      </c>
      <c r="L3" s="3" t="n">
        <v>4.9</v>
      </c>
      <c r="M3" s="4" t="n">
        <v>67</v>
      </c>
      <c r="N3" s="2" t="inlineStr">
        <is>
          <t>Manual</t>
        </is>
      </c>
      <c r="O3" s="5" t="inlineStr">
        <is>
          <t>2026-03-21</t>
        </is>
      </c>
      <c r="P3" s="2" t="inlineStr">
        <is>
          <t>https://demo-2.com</t>
        </is>
      </c>
      <c r="Q3" s="2" t="inlineStr">
        <is>
          <t>Y</t>
        </is>
      </c>
      <c r="R3" s="6" t="inlineStr">
        <is>
          <t>Replied - Warm</t>
        </is>
      </c>
      <c r="S3" s="5" t="inlineStr">
        <is>
          <t>2026-03-23</t>
        </is>
      </c>
      <c r="T3" s="2" t="inlineStr">
        <is>
          <t>Very interested, wants consultation</t>
        </is>
      </c>
    </row>
    <row r="4">
      <c r="A4" s="2" t="n">
        <v>103</v>
      </c>
      <c r="B4" s="2" t="inlineStr">
        <is>
          <t>The Rusty Fork Restaurant</t>
        </is>
      </c>
      <c r="C4" s="2" t="inlineStr">
        <is>
          <t>James Martinez</t>
        </is>
      </c>
      <c r="D4" s="2" t="inlineStr">
        <is>
          <t>555-0123</t>
        </is>
      </c>
      <c r="E4" s="2" t="inlineStr">
        <is>
          <t>james@rustyfork.local</t>
        </is>
      </c>
      <c r="F4" s="2" t="inlineStr">
        <is>
          <t>789 Commerce Rd</t>
        </is>
      </c>
      <c r="G4" s="2" t="inlineStr">
        <is>
          <t>Fort Collins</t>
        </is>
      </c>
      <c r="H4" s="2" t="inlineStr">
        <is>
          <t>CO</t>
        </is>
      </c>
      <c r="I4" s="2" t="inlineStr">
        <is>
          <t>80524</t>
        </is>
      </c>
      <c r="J4" s="2" t="inlineStr">
        <is>
          <t>Food &amp; Drink</t>
        </is>
      </c>
      <c r="K4" s="2" t="inlineStr">
        <is>
          <t>404 Error</t>
        </is>
      </c>
      <c r="L4" s="3" t="n">
        <v>4.6</v>
      </c>
      <c r="M4" s="4" t="n">
        <v>34</v>
      </c>
      <c r="N4" s="2" t="inlineStr">
        <is>
          <t>Outscraper</t>
        </is>
      </c>
      <c r="O4" s="5" t="inlineStr">
        <is>
          <t>2026-03-22</t>
        </is>
      </c>
      <c r="P4" s="2" t="inlineStr">
        <is>
          <t>https://demo-3.com</t>
        </is>
      </c>
      <c r="Q4" s="2" t="inlineStr">
        <is>
          <t>N</t>
        </is>
      </c>
      <c r="R4" s="2" t="inlineStr">
        <is>
          <t>Not Started</t>
        </is>
      </c>
      <c r="S4" s="5" t="inlineStr"/>
      <c r="T4" s="2" t="inlineStr">
        <is>
          <t>Pending outreach</t>
        </is>
      </c>
    </row>
  </sheetData>
  <autoFilter ref="A1:T101"/>
  <dataValidations count="5">
    <dataValidation sqref="J2:J101" showDropDown="0" showInputMessage="0" showErrorMessage="0" allowBlank="1" errorTitle="Invalid Entry" error="Please select from the list" type="list">
      <formula1>"Home Services,Personal Services,Food &amp; Drink,Health &amp; Wellness,Auto"</formula1>
    </dataValidation>
    <dataValidation sqref="K2:K101" showDropDown="0" showInputMessage="0" showErrorMessage="0" allowBlank="1" errorTitle="Invalid Entry" error="Please select from the list" type="list">
      <formula1>"No Website,Bad Website,404 Error"</formula1>
    </dataValidation>
    <dataValidation sqref="N2:N101" showDropDown="0" showInputMessage="0" showErrorMessage="0" allowBlank="1" errorTitle="Invalid Entry" error="Please select from the list" type="list">
      <formula1>"Outscraper,Manual,Referral"</formula1>
    </dataValidation>
    <dataValidation sqref="R2:R101" showDropDown="0" showInputMessage="0" showErrorMessage="0" allowBlank="1" errorTitle="Invalid Entry" error="Please select from the list" type="list">
      <formula1>"Not Started,Email 1 Sent,Email 2 Sent,Email 3 Sent,Email 4 Sent,Email 5 Sent,Replied - Warm,Replied - Not Interested,Closed - Won,Closed - Lost"</formula1>
    </dataValidation>
    <dataValidation sqref="Q2:Q101" showDropDown="0" showInputMessage="0" showErrorMessage="0" allowBlank="1" errorTitle="Invalid Entry" error="Please select Y or N" type="list">
      <formula1>"Y,N"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</cols>
  <sheetData>
    <row r="1" ht="25" customHeight="1">
      <c r="A1" s="7" t="inlineStr">
        <is>
          <t>LEAD PIPELINE DASHBOARD</t>
        </is>
      </c>
    </row>
    <row r="3">
      <c r="A3" s="8" t="inlineStr">
        <is>
          <t>KEY METRICS</t>
        </is>
      </c>
    </row>
    <row r="4">
      <c r="A4" s="9" t="inlineStr">
        <is>
          <t>Total Leads</t>
        </is>
      </c>
      <c r="B4" s="10">
        <f>COUNTA('Lead Pipeline'!A2:A101)</f>
        <v/>
      </c>
    </row>
    <row r="5">
      <c r="A5" s="9" t="inlineStr">
        <is>
          <t>Demo Sites Built</t>
        </is>
      </c>
      <c r="B5" s="10">
        <f>COUNTIF('Lead Pipeline'!Q2:Q101,"Y")</f>
        <v/>
      </c>
    </row>
    <row r="6">
      <c r="A6" s="9" t="inlineStr">
        <is>
          <t>Conversion Rate</t>
        </is>
      </c>
      <c r="B6" s="11">
        <f>IF(COUNTA('Lead Pipeline'!A2:A101)=0,0,COUNTIF('Lead Pipeline'!R2:R101,"Closed - Won")/COUNTA('Lead Pipeline'!A2:A101))</f>
        <v/>
      </c>
    </row>
    <row r="7">
      <c r="A7" s="9" t="inlineStr">
        <is>
          <t>Pipeline Value</t>
        </is>
      </c>
      <c r="B7" s="12">
        <f>COUNTIF('Lead Pipeline'!R2:R101,"Closed - Won")*997</f>
        <v/>
      </c>
    </row>
    <row r="10">
      <c r="A10" s="8" t="inlineStr">
        <is>
          <t>LEADS BY NICHE</t>
        </is>
      </c>
    </row>
    <row r="11">
      <c r="A11" s="13" t="inlineStr">
        <is>
          <t>Home Services</t>
        </is>
      </c>
      <c r="B11" s="14">
        <f>COUNTIF('Lead Pipeline'!J2:J101,"Home Services")</f>
        <v/>
      </c>
    </row>
    <row r="12">
      <c r="A12" s="13" t="inlineStr">
        <is>
          <t>Personal Services</t>
        </is>
      </c>
      <c r="B12" s="14">
        <f>COUNTIF('Lead Pipeline'!J2:J101,"Personal Services")</f>
        <v/>
      </c>
    </row>
    <row r="13">
      <c r="A13" s="13" t="inlineStr">
        <is>
          <t>Food &amp; Drink</t>
        </is>
      </c>
      <c r="B13" s="14">
        <f>COUNTIF('Lead Pipeline'!J2:J101,"Food &amp; Drink")</f>
        <v/>
      </c>
    </row>
    <row r="14">
      <c r="A14" s="13" t="inlineStr">
        <is>
          <t>Health &amp; Wellness</t>
        </is>
      </c>
      <c r="B14" s="14">
        <f>COUNTIF('Lead Pipeline'!J2:J101,"Health &amp; Wellness")</f>
        <v/>
      </c>
    </row>
    <row r="15">
      <c r="A15" s="13" t="inlineStr">
        <is>
          <t>Auto</t>
        </is>
      </c>
      <c r="B15" s="14">
        <f>COUNTIF('Lead Pipeline'!J2:J101,"Auto")</f>
        <v/>
      </c>
    </row>
    <row r="18">
      <c r="A18" s="8" t="inlineStr">
        <is>
          <t>LEADS BY OUTREACH STATUS</t>
        </is>
      </c>
    </row>
    <row r="19">
      <c r="A19" s="13" t="inlineStr">
        <is>
          <t>Not Started</t>
        </is>
      </c>
      <c r="B19" s="14">
        <f>COUNTIF('Lead Pipeline'!R2:R101,"Not Started")</f>
        <v/>
      </c>
    </row>
    <row r="20">
      <c r="A20" s="13" t="inlineStr">
        <is>
          <t>Email 1 Sent</t>
        </is>
      </c>
      <c r="B20" s="14">
        <f>COUNTIF('Lead Pipeline'!R2:R101,"Email 1 Sent")</f>
        <v/>
      </c>
    </row>
    <row r="21">
      <c r="A21" s="13" t="inlineStr">
        <is>
          <t>Email 2 Sent</t>
        </is>
      </c>
      <c r="B21" s="14">
        <f>COUNTIF('Lead Pipeline'!R2:R101,"Email 2 Sent")</f>
        <v/>
      </c>
    </row>
    <row r="22">
      <c r="A22" s="13" t="inlineStr">
        <is>
          <t>Email 3 Sent</t>
        </is>
      </c>
      <c r="B22" s="14">
        <f>COUNTIF('Lead Pipeline'!R2:R101,"Email 3 Sent")</f>
        <v/>
      </c>
    </row>
    <row r="23">
      <c r="A23" s="13" t="inlineStr">
        <is>
          <t>Email 4 Sent</t>
        </is>
      </c>
      <c r="B23" s="14">
        <f>COUNTIF('Lead Pipeline'!R2:R101,"Email 4 Sent")</f>
        <v/>
      </c>
    </row>
    <row r="24">
      <c r="A24" s="13" t="inlineStr">
        <is>
          <t>Email 5 Sent</t>
        </is>
      </c>
      <c r="B24" s="14">
        <f>COUNTIF('Lead Pipeline'!R2:R101,"Email 5 Sent")</f>
        <v/>
      </c>
    </row>
    <row r="25">
      <c r="A25" s="13" t="inlineStr">
        <is>
          <t>Replied - Warm</t>
        </is>
      </c>
      <c r="B25" s="15">
        <f>COUNTIF('Lead Pipeline'!R2:R101,"Replied - Warm")</f>
        <v/>
      </c>
    </row>
    <row r="26">
      <c r="A26" s="13" t="inlineStr">
        <is>
          <t>Replied - Not Interested</t>
        </is>
      </c>
      <c r="B26" s="14">
        <f>COUNTIF('Lead Pipeline'!R2:R101,"Replied - Not Interested")</f>
        <v/>
      </c>
    </row>
    <row r="27">
      <c r="A27" s="13" t="inlineStr">
        <is>
          <t>Closed - Won</t>
        </is>
      </c>
      <c r="B27" s="16">
        <f>COUNTIF('Lead Pipeline'!R2:R101,"Closed - Won")</f>
        <v/>
      </c>
    </row>
    <row r="28">
      <c r="A28" s="13" t="inlineStr">
        <is>
          <t>Closed - Lost</t>
        </is>
      </c>
      <c r="B28" s="17">
        <f>COUNTIF('Lead Pipeline'!R2:R101,"Closed - Lost")</f>
        <v/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4" customWidth="1" min="3" max="3"/>
    <col width="12" customWidth="1" min="4" max="4"/>
    <col width="15" customWidth="1" min="5" max="5"/>
    <col width="12" customWidth="1" min="6" max="6"/>
    <col width="12" customWidth="1" min="7" max="7"/>
    <col width="14" customWidth="1" min="8" max="8"/>
    <col width="16" customWidth="1" min="9" max="9"/>
    <col width="12" customWidth="1" min="10" max="10"/>
    <col width="12" customWidth="1" min="11" max="11"/>
    <col width="20" customWidth="1" min="12" max="12"/>
  </cols>
  <sheetData>
    <row r="1">
      <c r="A1" s="1" t="inlineStr">
        <is>
          <t>Week Starting</t>
        </is>
      </c>
      <c r="B1" s="1" t="inlineStr">
        <is>
          <t>Leads Scraped</t>
        </is>
      </c>
      <c r="C1" s="1" t="inlineStr">
        <is>
          <t>Demo Sites Built</t>
        </is>
      </c>
      <c r="D1" s="1" t="inlineStr">
        <is>
          <t>Emails Sent</t>
        </is>
      </c>
      <c r="E1" s="1" t="inlineStr">
        <is>
          <t>Replies Received</t>
        </is>
      </c>
      <c r="F1" s="1" t="inlineStr">
        <is>
          <t>Reply Rate</t>
        </is>
      </c>
      <c r="G1" s="1" t="inlineStr">
        <is>
          <t>Calls Booked</t>
        </is>
      </c>
      <c r="H1" s="1" t="inlineStr">
        <is>
          <t>Clients Closed</t>
        </is>
      </c>
      <c r="I1" s="1" t="inlineStr">
        <is>
          <t>Revenue (Setup)</t>
        </is>
      </c>
      <c r="J1" s="1" t="inlineStr">
        <is>
          <t>MRR Added</t>
        </is>
      </c>
      <c r="K1" s="1" t="inlineStr">
        <is>
          <t>Total MRR</t>
        </is>
      </c>
      <c r="L1" s="1" t="inlineStr">
        <is>
          <t>Notes</t>
        </is>
      </c>
    </row>
    <row r="2">
      <c r="A2" s="18" t="n"/>
      <c r="B2" s="19" t="n"/>
      <c r="C2" s="19" t="n"/>
      <c r="D2" s="19" t="n"/>
      <c r="E2" s="19" t="n"/>
      <c r="F2" s="20">
        <f>IF(E2=0,0,D2/E2)</f>
        <v/>
      </c>
      <c r="G2" s="19" t="n"/>
      <c r="H2" s="19" t="n"/>
      <c r="I2" s="21" t="n"/>
      <c r="J2" s="21" t="n"/>
      <c r="K2" s="22">
        <f>J2</f>
        <v/>
      </c>
      <c r="L2" s="23" t="n"/>
    </row>
    <row r="3">
      <c r="A3" s="18" t="n"/>
      <c r="B3" s="19" t="n"/>
      <c r="C3" s="19" t="n"/>
      <c r="D3" s="19" t="n"/>
      <c r="E3" s="19" t="n"/>
      <c r="F3" s="20">
        <f>IF(E3=0,0,D3/E3)</f>
        <v/>
      </c>
      <c r="G3" s="19" t="n"/>
      <c r="H3" s="19" t="n"/>
      <c r="I3" s="21" t="n"/>
      <c r="J3" s="21" t="n"/>
      <c r="K3" s="22">
        <f>K2+J3</f>
        <v/>
      </c>
      <c r="L3" s="23" t="n"/>
    </row>
    <row r="4">
      <c r="A4" s="18" t="n"/>
      <c r="B4" s="19" t="n"/>
      <c r="C4" s="19" t="n"/>
      <c r="D4" s="19" t="n"/>
      <c r="E4" s="19" t="n"/>
      <c r="F4" s="20">
        <f>IF(E4=0,0,D4/E4)</f>
        <v/>
      </c>
      <c r="G4" s="19" t="n"/>
      <c r="H4" s="19" t="n"/>
      <c r="I4" s="21" t="n"/>
      <c r="J4" s="21" t="n"/>
      <c r="K4" s="22">
        <f>K3+J4</f>
        <v/>
      </c>
      <c r="L4" s="23" t="n"/>
    </row>
    <row r="5">
      <c r="A5" s="18" t="n"/>
      <c r="B5" s="19" t="n"/>
      <c r="C5" s="19" t="n"/>
      <c r="D5" s="19" t="n"/>
      <c r="E5" s="19" t="n"/>
      <c r="F5" s="20">
        <f>IF(E5=0,0,D5/E5)</f>
        <v/>
      </c>
      <c r="G5" s="19" t="n"/>
      <c r="H5" s="19" t="n"/>
      <c r="I5" s="21" t="n"/>
      <c r="J5" s="21" t="n"/>
      <c r="K5" s="22">
        <f>K4+J5</f>
        <v/>
      </c>
      <c r="L5" s="23" t="n"/>
    </row>
    <row r="6">
      <c r="A6" s="18" t="n"/>
      <c r="B6" s="19" t="n"/>
      <c r="C6" s="19" t="n"/>
      <c r="D6" s="19" t="n"/>
      <c r="E6" s="19" t="n"/>
      <c r="F6" s="20">
        <f>IF(E6=0,0,D6/E6)</f>
        <v/>
      </c>
      <c r="G6" s="19" t="n"/>
      <c r="H6" s="19" t="n"/>
      <c r="I6" s="21" t="n"/>
      <c r="J6" s="21" t="n"/>
      <c r="K6" s="22">
        <f>K5+J6</f>
        <v/>
      </c>
      <c r="L6" s="23" t="n"/>
    </row>
    <row r="7">
      <c r="A7" s="18" t="n"/>
      <c r="B7" s="19" t="n"/>
      <c r="C7" s="19" t="n"/>
      <c r="D7" s="19" t="n"/>
      <c r="E7" s="19" t="n"/>
      <c r="F7" s="20">
        <f>IF(E7=0,0,D7/E7)</f>
        <v/>
      </c>
      <c r="G7" s="19" t="n"/>
      <c r="H7" s="19" t="n"/>
      <c r="I7" s="21" t="n"/>
      <c r="J7" s="21" t="n"/>
      <c r="K7" s="22">
        <f>K6+J7</f>
        <v/>
      </c>
      <c r="L7" s="23" t="n"/>
    </row>
    <row r="8">
      <c r="A8" s="18" t="n"/>
      <c r="B8" s="19" t="n"/>
      <c r="C8" s="19" t="n"/>
      <c r="D8" s="19" t="n"/>
      <c r="E8" s="19" t="n"/>
      <c r="F8" s="20">
        <f>IF(E8=0,0,D8/E8)</f>
        <v/>
      </c>
      <c r="G8" s="19" t="n"/>
      <c r="H8" s="19" t="n"/>
      <c r="I8" s="21" t="n"/>
      <c r="J8" s="21" t="n"/>
      <c r="K8" s="22">
        <f>K7+J8</f>
        <v/>
      </c>
      <c r="L8" s="23" t="n"/>
    </row>
    <row r="9">
      <c r="A9" s="18" t="n"/>
      <c r="B9" s="19" t="n"/>
      <c r="C9" s="19" t="n"/>
      <c r="D9" s="19" t="n"/>
      <c r="E9" s="19" t="n"/>
      <c r="F9" s="20">
        <f>IF(E9=0,0,D9/E9)</f>
        <v/>
      </c>
      <c r="G9" s="19" t="n"/>
      <c r="H9" s="19" t="n"/>
      <c r="I9" s="21" t="n"/>
      <c r="J9" s="21" t="n"/>
      <c r="K9" s="22">
        <f>K8+J9</f>
        <v/>
      </c>
      <c r="L9" s="23" t="n"/>
    </row>
    <row r="10">
      <c r="A10" s="18" t="n"/>
      <c r="B10" s="19" t="n"/>
      <c r="C10" s="19" t="n"/>
      <c r="D10" s="19" t="n"/>
      <c r="E10" s="19" t="n"/>
      <c r="F10" s="20">
        <f>IF(E10=0,0,D10/E10)</f>
        <v/>
      </c>
      <c r="G10" s="19" t="n"/>
      <c r="H10" s="19" t="n"/>
      <c r="I10" s="21" t="n"/>
      <c r="J10" s="21" t="n"/>
      <c r="K10" s="22">
        <f>K9+J10</f>
        <v/>
      </c>
      <c r="L10" s="23" t="n"/>
    </row>
    <row r="11">
      <c r="A11" s="18" t="n"/>
      <c r="B11" s="19" t="n"/>
      <c r="C11" s="19" t="n"/>
      <c r="D11" s="19" t="n"/>
      <c r="E11" s="19" t="n"/>
      <c r="F11" s="20">
        <f>IF(E11=0,0,D11/E11)</f>
        <v/>
      </c>
      <c r="G11" s="19" t="n"/>
      <c r="H11" s="19" t="n"/>
      <c r="I11" s="21" t="n"/>
      <c r="J11" s="21" t="n"/>
      <c r="K11" s="22">
        <f>K10+J11</f>
        <v/>
      </c>
      <c r="L11" s="23" t="n"/>
    </row>
    <row r="12">
      <c r="A12" s="18" t="n"/>
      <c r="B12" s="19" t="n"/>
      <c r="C12" s="19" t="n"/>
      <c r="D12" s="19" t="n"/>
      <c r="E12" s="19" t="n"/>
      <c r="F12" s="20">
        <f>IF(E12=0,0,D12/E12)</f>
        <v/>
      </c>
      <c r="G12" s="19" t="n"/>
      <c r="H12" s="19" t="n"/>
      <c r="I12" s="21" t="n"/>
      <c r="J12" s="21" t="n"/>
      <c r="K12" s="22">
        <f>K11+J12</f>
        <v/>
      </c>
      <c r="L12" s="23" t="n"/>
    </row>
    <row r="13">
      <c r="A13" s="18" t="n"/>
      <c r="B13" s="19" t="n"/>
      <c r="C13" s="19" t="n"/>
      <c r="D13" s="19" t="n"/>
      <c r="E13" s="19" t="n"/>
      <c r="F13" s="20">
        <f>IF(E13=0,0,D13/E13)</f>
        <v/>
      </c>
      <c r="G13" s="19" t="n"/>
      <c r="H13" s="19" t="n"/>
      <c r="I13" s="21" t="n"/>
      <c r="J13" s="21" t="n"/>
      <c r="K13" s="22">
        <f>K12+J13</f>
        <v/>
      </c>
      <c r="L13" s="23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 ht="20" customHeight="1">
      <c r="A1" s="24" t="inlineStr">
        <is>
          <t>SETTINGS &amp; CONFIGURATION</t>
        </is>
      </c>
    </row>
    <row r="3">
      <c r="A3" s="8" t="inlineStr">
        <is>
          <t>PRICING TIERS</t>
        </is>
      </c>
    </row>
    <row r="4">
      <c r="A4" s="25" t="inlineStr">
        <is>
          <t>Tier</t>
        </is>
      </c>
      <c r="B4" s="25" t="inlineStr">
        <is>
          <t>Setup Fee</t>
        </is>
      </c>
      <c r="C4" s="25" t="inlineStr">
        <is>
          <t>Monthly Fee</t>
        </is>
      </c>
    </row>
    <row r="5">
      <c r="A5" s="14" t="inlineStr">
        <is>
          <t>Tier 1</t>
        </is>
      </c>
      <c r="B5" s="26" t="n">
        <v>997</v>
      </c>
      <c r="C5" s="26" t="n">
        <v>149</v>
      </c>
    </row>
    <row r="6">
      <c r="A6" s="14" t="inlineStr">
        <is>
          <t>Tier 2</t>
        </is>
      </c>
      <c r="B6" s="26" t="n">
        <v>1997</v>
      </c>
      <c r="C6" s="26" t="n">
        <v>249</v>
      </c>
    </row>
    <row r="7">
      <c r="A7" s="14" t="inlineStr">
        <is>
          <t>Tier 3</t>
        </is>
      </c>
      <c r="B7" s="26" t="n">
        <v>3497</v>
      </c>
      <c r="C7" s="26" t="n">
        <v>397</v>
      </c>
    </row>
    <row r="10">
      <c r="A10" s="8" t="inlineStr">
        <is>
          <t>NICHE LIST (for dropdowns)</t>
        </is>
      </c>
    </row>
    <row r="11">
      <c r="A11" s="13" t="inlineStr">
        <is>
          <t>Home Services</t>
        </is>
      </c>
    </row>
    <row r="12">
      <c r="A12" s="13" t="inlineStr">
        <is>
          <t>Personal Services</t>
        </is>
      </c>
    </row>
    <row r="13">
      <c r="A13" s="13" t="inlineStr">
        <is>
          <t>Food &amp; Drink</t>
        </is>
      </c>
    </row>
    <row r="14">
      <c r="A14" s="13" t="inlineStr">
        <is>
          <t>Health &amp; Wellness</t>
        </is>
      </c>
    </row>
    <row r="15">
      <c r="A15" s="13" t="inlineStr">
        <is>
          <t>Auto</t>
        </is>
      </c>
    </row>
    <row r="18">
      <c r="A18" s="8" t="inlineStr">
        <is>
          <t>OUTREACH STATUS OPTIONS (for dropdowns)</t>
        </is>
      </c>
    </row>
    <row r="19">
      <c r="A19" s="13" t="inlineStr">
        <is>
          <t>Not Started</t>
        </is>
      </c>
    </row>
    <row r="20">
      <c r="A20" s="13" t="inlineStr">
        <is>
          <t>Email 1 Sent</t>
        </is>
      </c>
    </row>
    <row r="21">
      <c r="A21" s="13" t="inlineStr">
        <is>
          <t>Email 2 Sent</t>
        </is>
      </c>
    </row>
    <row r="22">
      <c r="A22" s="13" t="inlineStr">
        <is>
          <t>Email 3 Sent</t>
        </is>
      </c>
    </row>
    <row r="23">
      <c r="A23" s="13" t="inlineStr">
        <is>
          <t>Email 4 Sent</t>
        </is>
      </c>
    </row>
    <row r="24">
      <c r="A24" s="13" t="inlineStr">
        <is>
          <t>Email 5 Sent</t>
        </is>
      </c>
    </row>
    <row r="25">
      <c r="A25" s="13" t="inlineStr">
        <is>
          <t>Replied - Warm</t>
        </is>
      </c>
    </row>
    <row r="26">
      <c r="A26" s="13" t="inlineStr">
        <is>
          <t>Replied - Not Interested</t>
        </is>
      </c>
    </row>
    <row r="27">
      <c r="A27" s="13" t="inlineStr">
        <is>
          <t>Closed - Won</t>
        </is>
      </c>
    </row>
    <row r="28">
      <c r="A28" s="13" t="inlineStr">
        <is>
          <t>Closed - Lost</t>
        </is>
      </c>
    </row>
    <row r="31">
      <c r="A31" s="8" t="inlineStr">
        <is>
          <t>COLOR CODES</t>
        </is>
      </c>
    </row>
    <row r="32">
      <c r="A32" s="13" t="inlineStr">
        <is>
          <t>Closed - Won</t>
        </is>
      </c>
      <c r="B32" s="27" t="inlineStr">
        <is>
          <t>C6EFCE</t>
        </is>
      </c>
    </row>
    <row r="33">
      <c r="A33" s="13" t="inlineStr">
        <is>
          <t>Replied - Warm</t>
        </is>
      </c>
      <c r="B33" s="28" t="inlineStr">
        <is>
          <t>FFEB9C</t>
        </is>
      </c>
    </row>
    <row r="34">
      <c r="A34" s="13" t="inlineStr">
        <is>
          <t>Closed - Lost</t>
        </is>
      </c>
      <c r="B34" s="29" t="inlineStr">
        <is>
          <t>FFC7CE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2026-03-25T07:57:02Z</dcterms:created>
  <dcterms:modified xmlns:dcterms="http://purl.org/dc/terms/" xmlns:xsi="http://www.w3.org/2001/XMLSchema-instance" xsi:type="dcterms:W3CDTF">2026-03-25T07:57:02Z</dcterms:modified>
</cp:coreProperties>
</file>